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structions" sheetId="2" state="visible" r:id="rId2"/>
    <sheet name="Annual Budget" sheetId="3" state="visible" r:id="rId3"/>
    <sheet name="Semester Breakdown" sheetId="4" state="visible" r:id="rId4"/>
    <sheet name="Event Calculator" sheetId="5" state="visible" r:id="rId5"/>
    <sheet name="Monthly Tracker" sheetId="6" state="visible" r:id="rId6"/>
    <sheet name="Allocation Request" sheetId="7" state="visible" r:id="rId7"/>
    <sheet name="Year-End Report" sheetId="8" state="visible" r:id="rId8"/>
    <sheet name="Examp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16">
    <font>
      <name val="Calibri"/>
      <family val="2"/>
      <color theme="1"/>
      <sz val="11"/>
      <scheme val="minor"/>
    </font>
    <font>
      <name val="Calibri"/>
      <b val="1"/>
      <color rgb="001F4E78"/>
      <sz val="20"/>
    </font>
    <font>
      <name val="Calibri"/>
      <i val="1"/>
      <color rgb="004472C4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1F4E78"/>
      <sz val="18"/>
    </font>
    <font>
      <name val="Calibri"/>
      <i val="1"/>
      <sz val="12"/>
    </font>
    <font>
      <name val="Calibri"/>
      <b val="1"/>
      <color rgb="00FFFFFF"/>
      <sz val="14"/>
    </font>
    <font>
      <name val="Calibri"/>
      <sz val="11"/>
    </font>
    <font>
      <name val="Calibri"/>
      <i val="1"/>
      <color rgb="00666666"/>
      <sz val="9"/>
    </font>
    <font>
      <name val="Calibri"/>
      <b val="1"/>
      <sz val="12"/>
    </font>
    <font>
      <name val="Calibri"/>
      <i val="1"/>
      <sz val="11"/>
    </font>
    <font>
      <name val="Calibri"/>
      <i val="1"/>
      <color rgb="00666666"/>
      <sz val="10"/>
    </font>
    <font>
      <name val="Calibri"/>
      <b val="1"/>
      <color rgb="001F4E78"/>
      <sz val="16"/>
    </font>
    <font>
      <name val="Calibri"/>
      <b val="1"/>
      <sz val="14"/>
    </font>
    <font>
      <name val="Calibri"/>
      <b val="1"/>
      <color rgb="0070AD47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70AD47"/>
        <bgColor rgb="0070AD47"/>
      </patternFill>
    </fill>
    <fill>
      <patternFill patternType="solid">
        <fgColor rgb="001F4E78"/>
        <bgColor rgb="001F4E78"/>
      </patternFill>
    </fill>
    <fill>
      <patternFill patternType="solid">
        <fgColor rgb="005B9BD5"/>
        <bgColor rgb="005B9BD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7" borderId="0" pivotButton="0" quotePrefix="0" xfId="0"/>
    <xf numFmtId="0" fontId="4" fillId="2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 wrapText="1"/>
    </xf>
    <xf numFmtId="9" fontId="14" fillId="0" borderId="0" applyAlignment="1" pivotButton="0" quotePrefix="0" xfId="0">
      <alignment horizontal="center" vertical="center" wrapText="1"/>
    </xf>
    <xf numFmtId="164" fontId="4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7" borderId="0" applyAlignment="1" pivotButton="0" quotePrefix="0" xfId="0">
      <alignment horizontal="center" vertical="center" wrapText="1"/>
    </xf>
    <xf numFmtId="0" fontId="8" fillId="0" borderId="0" pivotButton="0" quotePrefix="0" xfId="0"/>
    <xf numFmtId="164" fontId="0" fillId="0" borderId="1" pivotButton="0" quotePrefix="0" xfId="0"/>
    <xf numFmtId="0" fontId="9" fillId="0" borderId="0" applyAlignment="1" pivotButton="0" quotePrefix="0" xfId="0">
      <alignment horizontal="left" vertical="center" wrapText="1"/>
    </xf>
    <xf numFmtId="0" fontId="4" fillId="4" borderId="0" pivotButton="0" quotePrefix="0" xfId="0"/>
    <xf numFmtId="164" fontId="4" fillId="4" borderId="1" pivotButton="0" quotePrefix="0" xfId="0"/>
    <xf numFmtId="164" fontId="0" fillId="4" borderId="1" pivotButton="0" quotePrefix="0" xfId="0"/>
    <xf numFmtId="164" fontId="4" fillId="0" borderId="1" pivotButton="0" quotePrefix="0" xfId="0"/>
    <xf numFmtId="0" fontId="10" fillId="8" borderId="0" pivotButton="0" quotePrefix="0" xfId="0"/>
    <xf numFmtId="164" fontId="10" fillId="8" borderId="1" pivotButton="0" quotePrefix="0" xfId="0"/>
    <xf numFmtId="0" fontId="4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8" borderId="0" pivotButton="0" quotePrefix="0" xfId="0"/>
    <xf numFmtId="164" fontId="4" fillId="8" borderId="0" pivotButton="0" quotePrefix="0" xfId="0"/>
    <xf numFmtId="0" fontId="12" fillId="0" borderId="0" pivotButton="0" quotePrefix="0" xfId="0"/>
    <xf numFmtId="1" fontId="0" fillId="0" borderId="1" pivotButton="0" quotePrefix="0" xfId="0"/>
    <xf numFmtId="164" fontId="4" fillId="8" borderId="1" pivotButton="0" quotePrefix="0" xfId="0"/>
    <xf numFmtId="0" fontId="13" fillId="0" borderId="0" pivotButton="0" quotePrefix="0" xfId="0"/>
    <xf numFmtId="0" fontId="1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165" fontId="0" fillId="4" borderId="1" pivotButton="0" quotePrefix="0" xfId="0"/>
    <xf numFmtId="165" fontId="4" fillId="4" borderId="1" pivotButton="0" quotePrefix="0" xfId="0"/>
    <xf numFmtId="0" fontId="10" fillId="6" borderId="0" pivotButton="0" quotePrefix="0" xfId="0"/>
    <xf numFmtId="164" fontId="3" fillId="6" borderId="1" pivotButton="0" quotePrefix="0" xfId="0"/>
    <xf numFmtId="0" fontId="1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FFFFFF"/>
      </font>
      <fill>
        <patternFill patternType="solid">
          <fgColor rgb="0070AD47"/>
          <bgColor rgb="0070AD47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C00000"/>
          <bgColor rgb="00C00000"/>
        </patternFill>
      </fill>
    </dxf>
    <dxf>
      <fill>
        <patternFill patternType="solid">
          <fgColor rgb="0070AD47"/>
          <b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FINANCIAL DASHBOARD</t>
        </is>
      </c>
    </row>
    <row r="2">
      <c r="A2" s="2" t="inlineStr">
        <is>
          <t>Academic Year 2026-2027</t>
        </is>
      </c>
    </row>
    <row r="4">
      <c r="A4" s="3" t="inlineStr">
        <is>
          <t>KEY METRICS</t>
        </is>
      </c>
    </row>
    <row r="5">
      <c r="A5" s="4" t="inlineStr">
        <is>
          <t>Total Budget</t>
        </is>
      </c>
      <c r="C5" s="4" t="inlineStr">
        <is>
          <t>YTD Income</t>
        </is>
      </c>
      <c r="E5" s="4" t="inlineStr">
        <is>
          <t>YTD Expenses</t>
        </is>
      </c>
    </row>
    <row r="6">
      <c r="A6" s="5">
        <f>'Annual Budget'!C32</f>
        <v/>
      </c>
      <c r="C6" s="5">
        <f>'Monthly Tracker'!C15</f>
        <v/>
      </c>
      <c r="E6" s="5">
        <f>'Monthly Tracker'!E15</f>
        <v/>
      </c>
    </row>
    <row r="8">
      <c r="A8" s="3" t="inlineStr">
        <is>
          <t>BUDGET HEALTH</t>
        </is>
      </c>
    </row>
    <row r="9">
      <c r="A9" s="6" t="inlineStr">
        <is>
          <t>Current Status:</t>
        </is>
      </c>
      <c r="C9" s="7">
        <f>IF('Annual Budget'!C34&gt;=0,"BALANCED ✓","DEFICIT ⚠")</f>
        <v/>
      </c>
    </row>
    <row r="10">
      <c r="A10" s="6" t="inlineStr">
        <is>
          <t>Available Funds:</t>
        </is>
      </c>
      <c r="C10" s="8">
        <f>'Monthly Tracker'!C23</f>
        <v/>
      </c>
    </row>
    <row r="11">
      <c r="A11" s="6" t="inlineStr">
        <is>
          <t>Budget Utilization:</t>
        </is>
      </c>
      <c r="C11" s="9">
        <f>IF('Annual Budget'!C32&lt;&gt;0,'Monthly Tracker'!E15/'Annual Budget'!C32,0)</f>
        <v/>
      </c>
    </row>
    <row r="13">
      <c r="A13" s="3" t="inlineStr">
        <is>
          <t>QUICK STATS</t>
        </is>
      </c>
    </row>
    <row r="14">
      <c r="A14" s="6" t="inlineStr">
        <is>
          <t>Net Position:</t>
        </is>
      </c>
      <c r="B14" s="10">
        <f>'Annual Budget'!C34</f>
        <v/>
      </c>
    </row>
    <row r="15">
      <c r="A15" s="6" t="inlineStr">
        <is>
          <t>Remaining Budget:</t>
        </is>
      </c>
      <c r="B15" s="10">
        <f>'Annual Budget'!C32-'Monthly Tracker'!E15</f>
        <v/>
      </c>
    </row>
    <row r="16">
      <c r="A16" s="6" t="inlineStr">
        <is>
          <t>Months Remaining:</t>
        </is>
      </c>
      <c r="B16" s="11" t="inlineStr">
        <is>
          <t>Manual Entry</t>
        </is>
      </c>
    </row>
    <row r="18">
      <c r="A18" s="3" t="inlineStr">
        <is>
          <t>NOTES &amp; REMINDERS</t>
        </is>
      </c>
    </row>
    <row r="19">
      <c r="A19" s="12" t="inlineStr">
        <is>
          <t>• Update Monthly Tracker regularly with actual income and expenses</t>
        </is>
      </c>
    </row>
    <row r="20">
      <c r="A20" s="12" t="inlineStr">
        <is>
          <t>• Review Dashboard weekly to monitor budget health</t>
        </is>
      </c>
    </row>
    <row r="21">
      <c r="A21" s="12" t="inlineStr">
        <is>
          <t>• Green status = on track, Yellow = caution, Red = over budget</t>
        </is>
      </c>
    </row>
    <row r="22">
      <c r="A22" s="12" t="inlineStr">
        <is>
          <t>• Keep all receipts and documentation for audit purposes</t>
        </is>
      </c>
    </row>
    <row r="23">
      <c r="A23" s="12" t="inlineStr">
        <is>
          <t>• Communicate with exec board about any significant variances</t>
        </is>
      </c>
    </row>
  </sheetData>
  <mergeCells count="23">
    <mergeCell ref="C6:D6"/>
    <mergeCell ref="A11:B11"/>
    <mergeCell ref="C5:D5"/>
    <mergeCell ref="E5:F5"/>
    <mergeCell ref="A18:F18"/>
    <mergeCell ref="A21:F21"/>
    <mergeCell ref="A6:B6"/>
    <mergeCell ref="A2:F2"/>
    <mergeCell ref="C10:D10"/>
    <mergeCell ref="A23:F23"/>
    <mergeCell ref="A8:F8"/>
    <mergeCell ref="A22:F22"/>
    <mergeCell ref="A4:F4"/>
    <mergeCell ref="C9:D9"/>
    <mergeCell ref="A20:F20"/>
    <mergeCell ref="E6:F6"/>
    <mergeCell ref="A13:F13"/>
    <mergeCell ref="A19:F19"/>
    <mergeCell ref="C11:D11"/>
    <mergeCell ref="A5:B5"/>
    <mergeCell ref="A1:F1"/>
    <mergeCell ref="A10:B1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3" t="inlineStr">
        <is>
          <t>STUDENT ORGANIZATION BUDGET TEMPLATE</t>
        </is>
      </c>
    </row>
    <row r="2">
      <c r="A2" s="14" t="inlineStr">
        <is>
          <t>Your Complete Guide to Financial Planning &amp; Management</t>
        </is>
      </c>
    </row>
    <row r="4">
      <c r="A4" s="15" t="inlineStr">
        <is>
          <t>WELCOME!</t>
        </is>
      </c>
    </row>
    <row r="5">
      <c r="A5" s="12" t="inlineStr">
        <is>
          <t>This workbook is designed to help student organization treasurers plan, track, and report on their organization's finances. Whether you're managing a $2,000 budget or $50,000+, this template will help you stay organized and make informed financial decisions.</t>
        </is>
      </c>
    </row>
    <row r="6"/>
    <row r="8">
      <c r="A8" s="15" t="inlineStr">
        <is>
          <t>HOW TO USE THIS WORKBOOK</t>
        </is>
      </c>
    </row>
    <row r="9">
      <c r="A9" s="6" t="inlineStr">
        <is>
          <t>1. Start with Annual Budget Planner</t>
        </is>
      </c>
      <c r="B9" s="12" t="inlineStr">
        <is>
          <t>Fill in your expected income sources and planned expenses for the year. All formulas will auto-calculate.</t>
        </is>
      </c>
    </row>
    <row r="10">
      <c r="A10" s="6" t="inlineStr">
        <is>
          <t>2. Break Down by Semester</t>
        </is>
      </c>
      <c r="B10" s="12" t="inlineStr">
        <is>
          <t>Use the Semester Breakdown sheet to allocate your budget between Fall and Spring.</t>
        </is>
      </c>
    </row>
    <row r="11">
      <c r="A11" s="6" t="inlineStr">
        <is>
          <t>3. Plan Individual Events</t>
        </is>
      </c>
      <c r="B11" s="12" t="inlineStr">
        <is>
          <t>Use the Event Budget Calculator for each major event. Track costs and revenue per event.</t>
        </is>
      </c>
    </row>
    <row r="12">
      <c r="A12" s="6" t="inlineStr">
        <is>
          <t>4. Track Monthly Progress</t>
        </is>
      </c>
      <c r="B12" s="12" t="inlineStr">
        <is>
          <t>Throughout the year, use Monthly Tracker to compare budgeted vs actual spending.</t>
        </is>
      </c>
    </row>
    <row r="13">
      <c r="A13" s="6" t="inlineStr">
        <is>
          <t>5. Request Funding</t>
        </is>
      </c>
      <c r="B13" s="12" t="inlineStr">
        <is>
          <t>Use the Allocation Request sheet to professionally present your budget to student government.</t>
        </is>
      </c>
    </row>
    <row r="14">
      <c r="A14" s="6" t="inlineStr">
        <is>
          <t>6. Year-End Reporting</t>
        </is>
      </c>
      <c r="B14" s="12" t="inlineStr">
        <is>
          <t>At year end, use the Year-End Report to summarize your financial performance.</t>
        </is>
      </c>
    </row>
    <row r="15">
      <c r="A15" s="6" t="inlineStr">
        <is>
          <t>7. Monitor Dashboard</t>
        </is>
      </c>
      <c r="B15" s="12" t="inlineStr">
        <is>
          <t>Check the Dashboard regularly for visual summaries of your financial health.</t>
        </is>
      </c>
    </row>
    <row r="16">
      <c r="A16" s="6" t="inlineStr">
        <is>
          <t>8. Review Example Sheet</t>
        </is>
      </c>
      <c r="B16" s="12" t="inlineStr">
        <is>
          <t>See the Example sheet for a completed budget to guide you.</t>
        </is>
      </c>
    </row>
    <row r="18">
      <c r="A18" s="15" t="inlineStr">
        <is>
          <t>KEY DEFINITIONS</t>
        </is>
      </c>
    </row>
    <row r="19">
      <c r="A19" s="6" t="inlineStr">
        <is>
          <t>Income</t>
        </is>
      </c>
      <c r="B19" s="12" t="inlineStr">
        <is>
          <t>Money coming into your organization (allocations, fundraising, dues, etc.)</t>
        </is>
      </c>
    </row>
    <row r="20">
      <c r="A20" s="6" t="inlineStr">
        <is>
          <t>Expenses</t>
        </is>
      </c>
      <c r="B20" s="12" t="inlineStr">
        <is>
          <t>Money going out of your organization (event costs, supplies, etc.)</t>
        </is>
      </c>
    </row>
    <row r="21">
      <c r="A21" s="6" t="inlineStr">
        <is>
          <t>Fixed Costs</t>
        </is>
      </c>
      <c r="B21" s="12" t="inlineStr">
        <is>
          <t>Expenses that stay the same (membership fees, subscriptions, etc.)</t>
        </is>
      </c>
    </row>
    <row r="22">
      <c r="A22" s="6" t="inlineStr">
        <is>
          <t>Variable Costs</t>
        </is>
      </c>
      <c r="B22" s="12" t="inlineStr">
        <is>
          <t>Expenses that change based on activity (event food, printing, etc.)</t>
        </is>
      </c>
    </row>
    <row r="23">
      <c r="A23" s="6" t="inlineStr">
        <is>
          <t>Surplus</t>
        </is>
      </c>
      <c r="B23" s="12" t="inlineStr">
        <is>
          <t>When income exceeds expenses (you have money left over)</t>
        </is>
      </c>
    </row>
    <row r="24">
      <c r="A24" s="6" t="inlineStr">
        <is>
          <t>Deficit</t>
        </is>
      </c>
      <c r="B24" s="12" t="inlineStr">
        <is>
          <t>When expenses exceed income (you're spending more than you have)</t>
        </is>
      </c>
    </row>
    <row r="25">
      <c r="A25" s="6" t="inlineStr">
        <is>
          <t>Contingency Fund</t>
        </is>
      </c>
      <c r="B25" s="12" t="inlineStr">
        <is>
          <t>10% of budget set aside for unexpected expenses</t>
        </is>
      </c>
    </row>
    <row r="26">
      <c r="A26" s="6" t="inlineStr">
        <is>
          <t>Variance</t>
        </is>
      </c>
      <c r="B26" s="12" t="inlineStr">
        <is>
          <t>Difference between budgeted and actual amounts</t>
        </is>
      </c>
    </row>
    <row r="27">
      <c r="A27" s="6" t="inlineStr">
        <is>
          <t>Allocation</t>
        </is>
      </c>
      <c r="B27" s="12" t="inlineStr">
        <is>
          <t>Funding provided by student government</t>
        </is>
      </c>
    </row>
    <row r="28">
      <c r="A28" s="6" t="inlineStr">
        <is>
          <t>Rollover</t>
        </is>
      </c>
      <c r="B28" s="12" t="inlineStr">
        <is>
          <t>Funds carried over from previous year</t>
        </is>
      </c>
    </row>
    <row r="30">
      <c r="A30" s="15" t="inlineStr">
        <is>
          <t>BUDGETING BEST PRACTICES</t>
        </is>
      </c>
    </row>
    <row r="31">
      <c r="A31" t="inlineStr">
        <is>
          <t>1.</t>
        </is>
      </c>
      <c r="B31" s="12" t="inlineStr">
        <is>
          <t>Be realistic with income projections - it's better to underestimate than overestimate</t>
        </is>
      </c>
    </row>
    <row r="32">
      <c r="A32" t="inlineStr">
        <is>
          <t>2.</t>
        </is>
      </c>
      <c r="B32" s="12" t="inlineStr">
        <is>
          <t>Always include a contingency fund (10% of total budget minimum)</t>
        </is>
      </c>
    </row>
    <row r="33">
      <c r="A33" t="inlineStr">
        <is>
          <t>3.</t>
        </is>
      </c>
      <c r="B33" s="12" t="inlineStr">
        <is>
          <t>Track actual spending monthly - don't wait until year end</t>
        </is>
      </c>
    </row>
    <row r="34">
      <c r="A34" t="inlineStr">
        <is>
          <t>4.</t>
        </is>
      </c>
      <c r="B34" s="12" t="inlineStr">
        <is>
          <t>Keep receipts and documentation for all expenses</t>
        </is>
      </c>
    </row>
    <row r="35">
      <c r="A35" t="inlineStr">
        <is>
          <t>5.</t>
        </is>
      </c>
      <c r="B35" s="12" t="inlineStr">
        <is>
          <t>Review your budget with your advisor before submitting allocation requests</t>
        </is>
      </c>
    </row>
    <row r="36">
      <c r="A36" t="inlineStr">
        <is>
          <t>6.</t>
        </is>
      </c>
      <c r="B36" s="12" t="inlineStr">
        <is>
          <t>Plan for seasonal variations (Fall vs Spring spending)</t>
        </is>
      </c>
    </row>
    <row r="37">
      <c r="A37" t="inlineStr">
        <is>
          <t>7.</t>
        </is>
      </c>
      <c r="B37" s="12" t="inlineStr">
        <is>
          <t>Build in buffer time and money for events (things always cost more than expected)</t>
        </is>
      </c>
    </row>
    <row r="38">
      <c r="A38" t="inlineStr">
        <is>
          <t>8.</t>
        </is>
      </c>
      <c r="B38" s="12" t="inlineStr">
        <is>
          <t>Communicate with your exec board regularly about financial status</t>
        </is>
      </c>
    </row>
    <row r="39">
      <c r="A39" t="inlineStr">
        <is>
          <t>9.</t>
        </is>
      </c>
      <c r="B39" s="12" t="inlineStr">
        <is>
          <t>Start budget planning 2-3 months before allocation deadlines</t>
        </is>
      </c>
    </row>
    <row r="40">
      <c r="A40" t="inlineStr">
        <is>
          <t>10.</t>
        </is>
      </c>
      <c r="B40" s="12" t="inlineStr">
        <is>
          <t>Learn from previous years - review past spending patterns</t>
        </is>
      </c>
    </row>
    <row r="42">
      <c r="A42" s="15" t="inlineStr">
        <is>
          <t>TIPS FOR PRESENTING TO ALLOCATION BOARDS</t>
        </is>
      </c>
    </row>
    <row r="43">
      <c r="A43" t="inlineStr">
        <is>
          <t>1.</t>
        </is>
      </c>
      <c r="B43" s="12" t="inlineStr">
        <is>
          <t>Know your numbers - be able to explain every line item</t>
        </is>
      </c>
    </row>
    <row r="44">
      <c r="A44" t="inlineStr">
        <is>
          <t>2.</t>
        </is>
      </c>
      <c r="B44" s="12" t="inlineStr">
        <is>
          <t>Show impact - connect budget requests to student outcomes</t>
        </is>
      </c>
    </row>
    <row r="45">
      <c r="A45" t="inlineStr">
        <is>
          <t>3.</t>
        </is>
      </c>
      <c r="B45" s="12" t="inlineStr">
        <is>
          <t>Be transparent about challenges and needs</t>
        </is>
      </c>
    </row>
    <row r="46">
      <c r="A46" t="inlineStr">
        <is>
          <t>4.</t>
        </is>
      </c>
      <c r="B46" s="12" t="inlineStr">
        <is>
          <t>Demonstrate responsible past financial management</t>
        </is>
      </c>
    </row>
    <row r="47">
      <c r="A47" t="inlineStr">
        <is>
          <t>5.</t>
        </is>
      </c>
      <c r="B47" s="12" t="inlineStr">
        <is>
          <t>Bring supporting documents (event flyers, quotes, receipts)</t>
        </is>
      </c>
    </row>
    <row r="48">
      <c r="A48" t="inlineStr">
        <is>
          <t>6.</t>
        </is>
      </c>
      <c r="B48" s="12" t="inlineStr">
        <is>
          <t>Practice your presentation beforehand</t>
        </is>
      </c>
    </row>
    <row r="49">
      <c r="A49" t="inlineStr">
        <is>
          <t>7.</t>
        </is>
      </c>
      <c r="B49" s="12" t="inlineStr">
        <is>
          <t>Dress professionally and arrive early</t>
        </is>
      </c>
    </row>
    <row r="50">
      <c r="A50" t="inlineStr">
        <is>
          <t>8.</t>
        </is>
      </c>
      <c r="B50" s="12" t="inlineStr">
        <is>
          <t>Be prepared for questions about specific line items</t>
        </is>
      </c>
    </row>
    <row r="51">
      <c r="A51" t="inlineStr">
        <is>
          <t>9.</t>
        </is>
      </c>
      <c r="B51" s="12" t="inlineStr">
        <is>
          <t>Show how you've tried to reduce costs or find alternative funding</t>
        </is>
      </c>
    </row>
    <row r="52">
      <c r="A52" t="inlineStr">
        <is>
          <t>10.</t>
        </is>
      </c>
      <c r="B52" s="12" t="inlineStr">
        <is>
          <t>Thank the board for their time and consideration</t>
        </is>
      </c>
    </row>
    <row r="55">
      <c r="A55" s="15" t="inlineStr">
        <is>
          <t>COLOR LEGEND</t>
        </is>
      </c>
    </row>
    <row r="56">
      <c r="A56" s="16" t="inlineStr">
        <is>
          <t>Input cells (white)</t>
        </is>
      </c>
      <c r="B56" t="inlineStr">
        <is>
          <t>These cells are where you enter your data</t>
        </is>
      </c>
    </row>
    <row r="57">
      <c r="A57" s="17" t="inlineStr">
        <is>
          <t>Calculated cells (gray)</t>
        </is>
      </c>
      <c r="B57" t="inlineStr">
        <is>
          <t>These cells contain formulas - do not edit</t>
        </is>
      </c>
    </row>
    <row r="58">
      <c r="A58" s="18" t="inlineStr">
        <is>
          <t>Over budget (red)</t>
        </is>
      </c>
      <c r="B58" t="inlineStr">
        <is>
          <t>Warning: spending exceeds budget</t>
        </is>
      </c>
    </row>
    <row r="59">
      <c r="A59" s="19" t="inlineStr">
        <is>
          <t>Under budget (green)</t>
        </is>
      </c>
      <c r="B59" t="inlineStr">
        <is>
          <t>Good: spending is within budget</t>
        </is>
      </c>
    </row>
  </sheetData>
  <mergeCells count="51">
    <mergeCell ref="B47:F47"/>
    <mergeCell ref="B16:F16"/>
    <mergeCell ref="B25:F25"/>
    <mergeCell ref="B59:F59"/>
    <mergeCell ref="B31:F31"/>
    <mergeCell ref="B46:F46"/>
    <mergeCell ref="A18:F18"/>
    <mergeCell ref="B22:F22"/>
    <mergeCell ref="A55:F55"/>
    <mergeCell ref="B27:F27"/>
    <mergeCell ref="B56:F56"/>
    <mergeCell ref="B58:F58"/>
    <mergeCell ref="B52:F52"/>
    <mergeCell ref="B21:F21"/>
    <mergeCell ref="A2:F2"/>
    <mergeCell ref="B43:F43"/>
    <mergeCell ref="B12:F12"/>
    <mergeCell ref="B39:F39"/>
    <mergeCell ref="A42:F42"/>
    <mergeCell ref="B48:F48"/>
    <mergeCell ref="B11:F11"/>
    <mergeCell ref="A8:F8"/>
    <mergeCell ref="B23:F23"/>
    <mergeCell ref="A4:F4"/>
    <mergeCell ref="B14:F14"/>
    <mergeCell ref="B13:F13"/>
    <mergeCell ref="B57:F57"/>
    <mergeCell ref="B44:F44"/>
    <mergeCell ref="B38:F38"/>
    <mergeCell ref="B34:F34"/>
    <mergeCell ref="B10:F10"/>
    <mergeCell ref="B28:F28"/>
    <mergeCell ref="B19:F19"/>
    <mergeCell ref="B37:F37"/>
    <mergeCell ref="A30:F30"/>
    <mergeCell ref="B40:F40"/>
    <mergeCell ref="B9:F9"/>
    <mergeCell ref="B49:F49"/>
    <mergeCell ref="B24:F24"/>
    <mergeCell ref="B20:F20"/>
    <mergeCell ref="B15:F15"/>
    <mergeCell ref="B33:F33"/>
    <mergeCell ref="A1:F1"/>
    <mergeCell ref="A5:F6"/>
    <mergeCell ref="B51:F51"/>
    <mergeCell ref="B45:F45"/>
    <mergeCell ref="B36:F36"/>
    <mergeCell ref="B32:F32"/>
    <mergeCell ref="B50:F50"/>
    <mergeCell ref="B26:F26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40" customWidth="1" min="4" max="4"/>
  </cols>
  <sheetData>
    <row r="1">
      <c r="A1" s="20" t="inlineStr">
        <is>
          <t>ANNUAL BUDGET PLANNER</t>
        </is>
      </c>
    </row>
    <row r="2">
      <c r="A2" s="21" t="inlineStr">
        <is>
          <t>Academic Year: 2026-2027</t>
        </is>
      </c>
    </row>
    <row r="3">
      <c r="A3" s="6" t="inlineStr">
        <is>
          <t>Organization Name:</t>
        </is>
      </c>
      <c r="B3" s="16" t="n"/>
      <c r="C3" s="22" t="n"/>
      <c r="D3" s="23" t="n"/>
    </row>
    <row r="5">
      <c r="A5" s="3" t="inlineStr">
        <is>
          <t>INCOME SOURCES</t>
        </is>
      </c>
      <c r="C5" s="24" t="inlineStr">
        <is>
          <t>PROJECTED AMOUNT</t>
        </is>
      </c>
      <c r="D5" s="24" t="inlineStr">
        <is>
          <t>NOTES</t>
        </is>
      </c>
    </row>
    <row r="6">
      <c r="A6" s="25" t="inlineStr">
        <is>
          <t>Student Government Allocation</t>
        </is>
      </c>
      <c r="C6" s="26" t="n"/>
      <c r="D6" s="27" t="inlineStr">
        <is>
          <t>Funding from student government/activities board</t>
        </is>
      </c>
    </row>
    <row r="7">
      <c r="A7" s="25" t="inlineStr">
        <is>
          <t>Fundraising Revenue</t>
        </is>
      </c>
      <c r="C7" s="26" t="n"/>
      <c r="D7" s="27" t="inlineStr">
        <is>
          <t>Money raised through fundraising events, sales, etc.</t>
        </is>
      </c>
    </row>
    <row r="8">
      <c r="A8" s="25" t="inlineStr">
        <is>
          <t>Membership Dues</t>
        </is>
      </c>
      <c r="C8" s="26" t="n"/>
      <c r="D8" s="27" t="inlineStr">
        <is>
          <t>Fees collected from members</t>
        </is>
      </c>
    </row>
    <row r="9">
      <c r="A9" s="25" t="inlineStr">
        <is>
          <t>Event Ticket Sales</t>
        </is>
      </c>
      <c r="C9" s="26" t="n"/>
      <c r="D9" s="27" t="inlineStr">
        <is>
          <t>Revenue from ticketed events</t>
        </is>
      </c>
    </row>
    <row r="10">
      <c r="A10" s="25" t="inlineStr">
        <is>
          <t>Sponsorships</t>
        </is>
      </c>
      <c r="C10" s="26" t="n"/>
      <c r="D10" s="27" t="inlineStr">
        <is>
          <t>Corporate or department sponsorships</t>
        </is>
      </c>
    </row>
    <row r="11">
      <c r="A11" s="25" t="inlineStr">
        <is>
          <t>Donations</t>
        </is>
      </c>
      <c r="C11" s="26" t="n"/>
      <c r="D11" s="27" t="inlineStr">
        <is>
          <t>Individual or alumni donations</t>
        </is>
      </c>
    </row>
    <row r="12">
      <c r="A12" s="25" t="inlineStr">
        <is>
          <t>Grants</t>
        </is>
      </c>
      <c r="C12" s="26" t="n"/>
      <c r="D12" s="27" t="inlineStr">
        <is>
          <t>External grants or awards</t>
        </is>
      </c>
    </row>
    <row r="13">
      <c r="A13" s="25" t="inlineStr">
        <is>
          <t>Rollover from Previous Year</t>
        </is>
      </c>
      <c r="C13" s="26" t="n"/>
      <c r="D13" s="27" t="inlineStr">
        <is>
          <t>Funds carried over from last year</t>
        </is>
      </c>
    </row>
    <row r="14">
      <c r="A14" s="25" t="inlineStr">
        <is>
          <t>Other Income</t>
        </is>
      </c>
      <c r="C14" s="26" t="n"/>
      <c r="D14" s="27" t="inlineStr">
        <is>
          <t>Any other income sources</t>
        </is>
      </c>
    </row>
    <row r="15">
      <c r="A15" s="28" t="inlineStr">
        <is>
          <t>TOTAL PROJECTED INCOME</t>
        </is>
      </c>
      <c r="C15" s="29">
        <f>SUM(C6:C14)</f>
        <v/>
      </c>
    </row>
    <row r="18">
      <c r="A18" s="3" t="inlineStr">
        <is>
          <t>EXPENSE CATEGORIES</t>
        </is>
      </c>
      <c r="C18" s="24" t="inlineStr">
        <is>
          <t>BUDGETED AMOUNT</t>
        </is>
      </c>
      <c r="D18" s="24" t="inlineStr">
        <is>
          <t>NOTES</t>
        </is>
      </c>
    </row>
    <row r="19">
      <c r="A19" s="25" t="inlineStr">
        <is>
          <t>Events &amp; Programming</t>
        </is>
      </c>
      <c r="C19" s="26" t="n"/>
      <c r="D19" s="27" t="inlineStr">
        <is>
          <t>Costs for events, activities, programs</t>
        </is>
      </c>
    </row>
    <row r="20">
      <c r="A20" s="25" t="inlineStr">
        <is>
          <t>Food &amp; Catering</t>
        </is>
      </c>
      <c r="C20" s="26" t="n"/>
      <c r="D20" s="27" t="inlineStr">
        <is>
          <t>Food for meetings, events, etc.</t>
        </is>
      </c>
    </row>
    <row r="21">
      <c r="A21" s="25" t="inlineStr">
        <is>
          <t>Marketing &amp; Printing</t>
        </is>
      </c>
      <c r="C21" s="26" t="n"/>
      <c r="D21" s="27" t="inlineStr">
        <is>
          <t>Flyers, posters, social media ads</t>
        </is>
      </c>
    </row>
    <row r="22">
      <c r="A22" s="25" t="inlineStr">
        <is>
          <t>Travel &amp; Transportation</t>
        </is>
      </c>
      <c r="C22" s="26" t="n"/>
      <c r="D22" s="27" t="inlineStr">
        <is>
          <t>Conference travel, transportation costs</t>
        </is>
      </c>
    </row>
    <row r="23">
      <c r="A23" s="25" t="inlineStr">
        <is>
          <t>Supplies &amp; Materials</t>
        </is>
      </c>
      <c r="C23" s="26" t="n"/>
      <c r="D23" s="27" t="inlineStr">
        <is>
          <t>Office supplies, event materials</t>
        </is>
      </c>
    </row>
    <row r="24">
      <c r="A24" s="25" t="inlineStr">
        <is>
          <t>Speaker/Performer Fees</t>
        </is>
      </c>
      <c r="C24" s="26" t="n"/>
      <c r="D24" s="27" t="inlineStr">
        <is>
          <t>Payment for speakers, entertainers</t>
        </is>
      </c>
    </row>
    <row r="25">
      <c r="A25" s="25" t="inlineStr">
        <is>
          <t>Equipment &amp; Technology</t>
        </is>
      </c>
      <c r="C25" s="26" t="n"/>
      <c r="D25" s="27" t="inlineStr">
        <is>
          <t>Tech purchases, equipment rental</t>
        </is>
      </c>
    </row>
    <row r="26">
      <c r="A26" s="25" t="inlineStr">
        <is>
          <t>Venue Rental</t>
        </is>
      </c>
      <c r="C26" s="26" t="n"/>
      <c r="D26" s="27" t="inlineStr">
        <is>
          <t>Room rentals, facility fees</t>
        </is>
      </c>
    </row>
    <row r="27">
      <c r="A27" s="25" t="inlineStr">
        <is>
          <t>Merchandise &amp; Apparel</t>
        </is>
      </c>
      <c r="C27" s="26" t="n"/>
      <c r="D27" s="27" t="inlineStr">
        <is>
          <t>T-shirts, promotional items</t>
        </is>
      </c>
    </row>
    <row r="28">
      <c r="A28" s="25" t="inlineStr">
        <is>
          <t>Administrative Costs</t>
        </is>
      </c>
      <c r="C28" s="26" t="n"/>
      <c r="D28" s="27" t="inlineStr">
        <is>
          <t>Insurance, registration fees, bank fees</t>
        </is>
      </c>
    </row>
    <row r="29">
      <c r="A29" s="25" t="inlineStr">
        <is>
          <t>Professional Development</t>
        </is>
      </c>
      <c r="C29" s="26" t="n"/>
      <c r="D29" s="27" t="inlineStr">
        <is>
          <t>Training, workshops for members</t>
        </is>
      </c>
    </row>
    <row r="30">
      <c r="A30" s="25" t="inlineStr">
        <is>
          <t>Other Expenses</t>
        </is>
      </c>
      <c r="C30" s="26" t="n"/>
      <c r="D30" s="27" t="inlineStr">
        <is>
          <t>Any other expense categories</t>
        </is>
      </c>
    </row>
    <row r="31">
      <c r="A31" s="25" t="inlineStr">
        <is>
          <t>Contingency Fund (10%)</t>
        </is>
      </c>
      <c r="C31" s="30">
        <f>SUM(C19:C30)*0.10</f>
        <v/>
      </c>
      <c r="D31" s="27" t="inlineStr">
        <is>
          <t>Auto-calculated: 10% of total expenses</t>
        </is>
      </c>
    </row>
    <row r="32">
      <c r="A32" s="28" t="inlineStr">
        <is>
          <t>TOTAL BUDGETED EXPENSES</t>
        </is>
      </c>
      <c r="C32" s="29">
        <f>SUM(C19:C30)+C31</f>
        <v/>
      </c>
    </row>
    <row r="35">
      <c r="A35" s="3" t="inlineStr">
        <is>
          <t>BUDGET SUMMARY</t>
        </is>
      </c>
    </row>
    <row r="36">
      <c r="A36" s="6" t="inlineStr">
        <is>
          <t>Total Projected Income</t>
        </is>
      </c>
      <c r="C36" s="31">
        <f>C15</f>
        <v/>
      </c>
    </row>
    <row r="37">
      <c r="A37" s="6" t="inlineStr">
        <is>
          <t>Total Budgeted Expenses</t>
        </is>
      </c>
      <c r="C37" s="31">
        <f>C32</f>
        <v/>
      </c>
    </row>
    <row r="38">
      <c r="A38" s="32" t="inlineStr">
        <is>
          <t>NET POSITION (Surplus/Deficit)</t>
        </is>
      </c>
      <c r="C38" s="33">
        <f>C15-C32</f>
        <v/>
      </c>
    </row>
    <row r="39">
      <c r="A39" s="6" t="inlineStr">
        <is>
          <t>Budget Status</t>
        </is>
      </c>
      <c r="C39" s="34">
        <f>IF(C38&gt;=0,"BALANCED ✓","DEFICIT ⚠")</f>
        <v/>
      </c>
    </row>
  </sheetData>
  <mergeCells count="34">
    <mergeCell ref="A24:B24"/>
    <mergeCell ref="A30:B30"/>
    <mergeCell ref="A15:B15"/>
    <mergeCell ref="A35:D35"/>
    <mergeCell ref="A11:B11"/>
    <mergeCell ref="A36:B36"/>
    <mergeCell ref="A6:B6"/>
    <mergeCell ref="A7:B7"/>
    <mergeCell ref="A25:B25"/>
    <mergeCell ref="A37:B37"/>
    <mergeCell ref="A18:B18"/>
    <mergeCell ref="A27:B27"/>
    <mergeCell ref="A12:B12"/>
    <mergeCell ref="A1:D1"/>
    <mergeCell ref="A26:B26"/>
    <mergeCell ref="A21:B21"/>
    <mergeCell ref="A5:B5"/>
    <mergeCell ref="A32:B32"/>
    <mergeCell ref="A14:B14"/>
    <mergeCell ref="A23:B23"/>
    <mergeCell ref="A8:B8"/>
    <mergeCell ref="A22:B22"/>
    <mergeCell ref="A20:B20"/>
    <mergeCell ref="B3:D3"/>
    <mergeCell ref="A38:B38"/>
    <mergeCell ref="A29:B29"/>
    <mergeCell ref="A19:B19"/>
    <mergeCell ref="A10:B10"/>
    <mergeCell ref="A28:B28"/>
    <mergeCell ref="A13:B13"/>
    <mergeCell ref="A2:D2"/>
    <mergeCell ref="A9:B9"/>
    <mergeCell ref="A31:B31"/>
    <mergeCell ref="A39:B39"/>
  </mergeCells>
  <conditionalFormatting sqref="C38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0" t="inlineStr">
        <is>
          <t>SEMESTER BREAKDOWN</t>
        </is>
      </c>
    </row>
    <row r="2">
      <c r="A2" s="35" t="inlineStr">
        <is>
          <t>Allocate your annual budget between Fall and Spring semesters</t>
        </is>
      </c>
    </row>
    <row r="4">
      <c r="A4" s="24" t="inlineStr">
        <is>
          <t>CATEGORY</t>
        </is>
      </c>
      <c r="B4" s="24" t="inlineStr">
        <is>
          <t>ANNUAL TOTAL</t>
        </is>
      </c>
      <c r="C4" s="24" t="inlineStr">
        <is>
          <t>FALL SEMESTER</t>
        </is>
      </c>
      <c r="D4" s="24" t="inlineStr">
        <is>
          <t>SPRING SEMESTER</t>
        </is>
      </c>
      <c r="E4" s="24" t="inlineStr">
        <is>
          <t>VARIANCE</t>
        </is>
      </c>
    </row>
    <row r="5">
      <c r="A5" s="15" t="inlineStr">
        <is>
          <t>INCOME</t>
        </is>
      </c>
    </row>
    <row r="6">
      <c r="A6" t="inlineStr">
        <is>
          <t>Student Government Allocation</t>
        </is>
      </c>
      <c r="B6" s="26" t="n"/>
      <c r="C6" s="26" t="n"/>
      <c r="D6" s="26" t="n"/>
      <c r="E6" s="30">
        <f>B6-(C6+D6)</f>
        <v/>
      </c>
    </row>
    <row r="7">
      <c r="A7" t="inlineStr">
        <is>
          <t>Fundraising Revenue</t>
        </is>
      </c>
      <c r="B7" s="26" t="n"/>
      <c r="C7" s="26" t="n"/>
      <c r="D7" s="26" t="n"/>
      <c r="E7" s="30">
        <f>B7-(C7+D7)</f>
        <v/>
      </c>
    </row>
    <row r="8">
      <c r="A8" t="inlineStr">
        <is>
          <t>Membership Dues</t>
        </is>
      </c>
      <c r="B8" s="26" t="n"/>
      <c r="C8" s="26" t="n"/>
      <c r="D8" s="26" t="n"/>
      <c r="E8" s="30">
        <f>B8-(C8+D8)</f>
        <v/>
      </c>
    </row>
    <row r="9">
      <c r="A9" t="inlineStr">
        <is>
          <t>Event Ticket Sales</t>
        </is>
      </c>
      <c r="B9" s="26" t="n"/>
      <c r="C9" s="26" t="n"/>
      <c r="D9" s="26" t="n"/>
      <c r="E9" s="30">
        <f>B9-(C9+D9)</f>
        <v/>
      </c>
    </row>
    <row r="10">
      <c r="A10" t="inlineStr">
        <is>
          <t>Sponsorships</t>
        </is>
      </c>
      <c r="B10" s="26" t="n"/>
      <c r="C10" s="26" t="n"/>
      <c r="D10" s="26" t="n"/>
      <c r="E10" s="30">
        <f>B10-(C10+D10)</f>
        <v/>
      </c>
    </row>
    <row r="11">
      <c r="A11" t="inlineStr">
        <is>
          <t>Other Income</t>
        </is>
      </c>
      <c r="B11" s="26" t="n"/>
      <c r="C11" s="26" t="n"/>
      <c r="D11" s="26" t="n"/>
      <c r="E11" s="30">
        <f>B11-(C11+D11)</f>
        <v/>
      </c>
    </row>
    <row r="12">
      <c r="A12" s="28" t="inlineStr">
        <is>
          <t>TOTAL INCOME</t>
        </is>
      </c>
      <c r="B12" s="29">
        <f>SUM(B6:B11)</f>
        <v/>
      </c>
      <c r="C12" s="29">
        <f>SUM(C6:C11)</f>
        <v/>
      </c>
      <c r="D12" s="29">
        <f>SUM(D6:D11)</f>
        <v/>
      </c>
      <c r="E12" s="29">
        <f>SUM(E6:E11)</f>
        <v/>
      </c>
    </row>
    <row r="14">
      <c r="A14" s="15" t="inlineStr">
        <is>
          <t>EXPENSES</t>
        </is>
      </c>
    </row>
    <row r="15">
      <c r="A15" t="inlineStr">
        <is>
          <t>Events &amp; Programming</t>
        </is>
      </c>
      <c r="B15" s="26" t="n"/>
      <c r="C15" s="26" t="n"/>
      <c r="D15" s="26" t="n"/>
      <c r="E15" s="30">
        <f>B15-(C15+D15)</f>
        <v/>
      </c>
    </row>
    <row r="16">
      <c r="A16" t="inlineStr">
        <is>
          <t>Food &amp; Catering</t>
        </is>
      </c>
      <c r="B16" s="26" t="n"/>
      <c r="C16" s="26" t="n"/>
      <c r="D16" s="26" t="n"/>
      <c r="E16" s="30">
        <f>B16-(C16+D16)</f>
        <v/>
      </c>
    </row>
    <row r="17">
      <c r="A17" t="inlineStr">
        <is>
          <t>Marketing &amp; Printing</t>
        </is>
      </c>
      <c r="B17" s="26" t="n"/>
      <c r="C17" s="26" t="n"/>
      <c r="D17" s="26" t="n"/>
      <c r="E17" s="30">
        <f>B17-(C17+D17)</f>
        <v/>
      </c>
    </row>
    <row r="18">
      <c r="A18" t="inlineStr">
        <is>
          <t>Travel &amp; Transportation</t>
        </is>
      </c>
      <c r="B18" s="26" t="n"/>
      <c r="C18" s="26" t="n"/>
      <c r="D18" s="26" t="n"/>
      <c r="E18" s="30">
        <f>B18-(C18+D18)</f>
        <v/>
      </c>
    </row>
    <row r="19">
      <c r="A19" t="inlineStr">
        <is>
          <t>Supplies &amp; Materials</t>
        </is>
      </c>
      <c r="B19" s="26" t="n"/>
      <c r="C19" s="26" t="n"/>
      <c r="D19" s="26" t="n"/>
      <c r="E19" s="30">
        <f>B19-(C19+D19)</f>
        <v/>
      </c>
    </row>
    <row r="20">
      <c r="A20" t="inlineStr">
        <is>
          <t>Speaker/Performer Fees</t>
        </is>
      </c>
      <c r="B20" s="26" t="n"/>
      <c r="C20" s="26" t="n"/>
      <c r="D20" s="26" t="n"/>
      <c r="E20" s="30">
        <f>B20-(C20+D20)</f>
        <v/>
      </c>
    </row>
    <row r="21">
      <c r="A21" t="inlineStr">
        <is>
          <t>Equipment &amp; Technology</t>
        </is>
      </c>
      <c r="B21" s="26" t="n"/>
      <c r="C21" s="26" t="n"/>
      <c r="D21" s="26" t="n"/>
      <c r="E21" s="30">
        <f>B21-(C21+D21)</f>
        <v/>
      </c>
    </row>
    <row r="22">
      <c r="A22" t="inlineStr">
        <is>
          <t>Administrative Costs</t>
        </is>
      </c>
      <c r="B22" s="26" t="n"/>
      <c r="C22" s="26" t="n"/>
      <c r="D22" s="26" t="n"/>
      <c r="E22" s="30">
        <f>B22-(C22+D22)</f>
        <v/>
      </c>
    </row>
    <row r="23">
      <c r="A23" t="inlineStr">
        <is>
          <t>Contingency Fund</t>
        </is>
      </c>
      <c r="B23" s="26" t="n"/>
      <c r="C23" s="26" t="n"/>
      <c r="D23" s="26" t="n"/>
      <c r="E23" s="30">
        <f>B23-(C23+D23)</f>
        <v/>
      </c>
    </row>
    <row r="24">
      <c r="A24" s="28" t="inlineStr">
        <is>
          <t>TOTAL EXPENSES</t>
        </is>
      </c>
      <c r="B24" s="29">
        <f>SUM(B15:B23)</f>
        <v/>
      </c>
      <c r="C24" s="29">
        <f>SUM(C15:C23)</f>
        <v/>
      </c>
      <c r="D24" s="29">
        <f>SUM(D15:D23)</f>
        <v/>
      </c>
      <c r="E24" s="29">
        <f>SUM(E15:E23)</f>
        <v/>
      </c>
    </row>
    <row r="26">
      <c r="A26" s="36" t="inlineStr">
        <is>
          <t>NET POSITION</t>
        </is>
      </c>
      <c r="C26" s="37">
        <f>C14-C24</f>
        <v/>
      </c>
      <c r="D26" s="37">
        <f>D14-D24</f>
        <v/>
      </c>
    </row>
    <row r="28">
      <c r="A28" s="38" t="inlineStr">
        <is>
          <t>NOTE: Variance column shows if Fall + Spring allocation matches Annual Total. Should be $0.</t>
        </is>
      </c>
    </row>
  </sheetData>
  <mergeCells count="5">
    <mergeCell ref="A2:E2"/>
    <mergeCell ref="A28:E28"/>
    <mergeCell ref="A1:E1"/>
    <mergeCell ref="A5:E5"/>
    <mergeCell ref="A14:E14"/>
  </mergeCells>
  <conditionalFormatting sqref="E6">
    <cfRule type="cellIs" priority="1" operator="notEqual" dxfId="2">
      <formula>0</formula>
    </cfRule>
  </conditionalFormatting>
  <conditionalFormatting sqref="E7">
    <cfRule type="cellIs" priority="2" operator="notEqual" dxfId="2">
      <formula>0</formula>
    </cfRule>
  </conditionalFormatting>
  <conditionalFormatting sqref="E8">
    <cfRule type="cellIs" priority="3" operator="notEqual" dxfId="2">
      <formula>0</formula>
    </cfRule>
  </conditionalFormatting>
  <conditionalFormatting sqref="E9">
    <cfRule type="cellIs" priority="4" operator="notEqual" dxfId="2">
      <formula>0</formula>
    </cfRule>
  </conditionalFormatting>
  <conditionalFormatting sqref="E10">
    <cfRule type="cellIs" priority="5" operator="notEqual" dxfId="2">
      <formula>0</formula>
    </cfRule>
  </conditionalFormatting>
  <conditionalFormatting sqref="E11">
    <cfRule type="cellIs" priority="6" operator="notEqual" dxfId="2">
      <formula>0</formula>
    </cfRule>
  </conditionalFormatting>
  <conditionalFormatting sqref="E12">
    <cfRule type="cellIs" priority="7" operator="notEqual" dxfId="2">
      <formula>0</formula>
    </cfRule>
  </conditionalFormatting>
  <conditionalFormatting sqref="E13">
    <cfRule type="cellIs" priority="8" operator="notEqual" dxfId="2">
      <formula>0</formula>
    </cfRule>
  </conditionalFormatting>
  <conditionalFormatting sqref="E14">
    <cfRule type="cellIs" priority="9" operator="notEqual" dxfId="2">
      <formula>0</formula>
    </cfRule>
  </conditionalFormatting>
  <conditionalFormatting sqref="E15">
    <cfRule type="cellIs" priority="10" operator="notEqual" dxfId="2">
      <formula>0</formula>
    </cfRule>
  </conditionalFormatting>
  <conditionalFormatting sqref="E16">
    <cfRule type="cellIs" priority="11" operator="notEqual" dxfId="2">
      <formula>0</formula>
    </cfRule>
  </conditionalFormatting>
  <conditionalFormatting sqref="E17">
    <cfRule type="cellIs" priority="12" operator="notEqual" dxfId="2">
      <formula>0</formula>
    </cfRule>
  </conditionalFormatting>
  <conditionalFormatting sqref="E18">
    <cfRule type="cellIs" priority="13" operator="notEqual" dxfId="2">
      <formula>0</formula>
    </cfRule>
  </conditionalFormatting>
  <conditionalFormatting sqref="E19">
    <cfRule type="cellIs" priority="14" operator="notEqual" dxfId="2">
      <formula>0</formula>
    </cfRule>
  </conditionalFormatting>
  <conditionalFormatting sqref="E20">
    <cfRule type="cellIs" priority="15" operator="notEqual" dxfId="2">
      <formula>0</formula>
    </cfRule>
  </conditionalFormatting>
  <conditionalFormatting sqref="E21">
    <cfRule type="cellIs" priority="16" operator="notEqual" dxfId="2">
      <formula>0</formula>
    </cfRule>
  </conditionalFormatting>
  <conditionalFormatting sqref="E22">
    <cfRule type="cellIs" priority="17" operator="notEqual" dxfId="2">
      <formula>0</formula>
    </cfRule>
  </conditionalFormatting>
  <conditionalFormatting sqref="E23">
    <cfRule type="cellIs" priority="18" operator="notEqual" dxfId="2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30" customWidth="1" min="4" max="4"/>
  </cols>
  <sheetData>
    <row r="1">
      <c r="A1" s="20" t="inlineStr">
        <is>
          <t>EVENT BUDGET CALCULATOR</t>
        </is>
      </c>
    </row>
    <row r="2">
      <c r="A2" s="35" t="inlineStr">
        <is>
          <t>Use this template to budget for individual events</t>
        </is>
      </c>
    </row>
    <row r="4">
      <c r="A4" s="6" t="inlineStr">
        <is>
          <t>Event Name:</t>
        </is>
      </c>
      <c r="B4" s="11" t="n"/>
      <c r="C4" s="22" t="n"/>
      <c r="D4" s="23" t="n"/>
    </row>
    <row r="5">
      <c r="A5" s="6" t="inlineStr">
        <is>
          <t>Event Date:</t>
        </is>
      </c>
      <c r="B5" s="11" t="n"/>
    </row>
    <row r="6">
      <c r="A6" s="6" t="inlineStr">
        <is>
          <t>Expected Attendance:</t>
        </is>
      </c>
      <c r="B6" s="39" t="n"/>
    </row>
    <row r="8">
      <c r="A8" s="3" t="inlineStr">
        <is>
          <t>EVENT INCOME</t>
        </is>
      </c>
      <c r="C8" s="24" t="inlineStr">
        <is>
          <t>AMOUNT</t>
        </is>
      </c>
    </row>
    <row r="9">
      <c r="A9" t="inlineStr">
        <is>
          <t>Ticket Sales</t>
        </is>
      </c>
      <c r="C9" s="26" t="n"/>
    </row>
    <row r="10">
      <c r="A10" t="inlineStr">
        <is>
          <t>Event Sponsorships</t>
        </is>
      </c>
      <c r="C10" s="26" t="n"/>
    </row>
    <row r="11">
      <c r="A11" t="inlineStr">
        <is>
          <t>Donations</t>
        </is>
      </c>
      <c r="C11" s="26" t="n"/>
    </row>
    <row r="12">
      <c r="A12" t="inlineStr">
        <is>
          <t>Other Income</t>
        </is>
      </c>
      <c r="C12" s="26" t="n"/>
    </row>
    <row r="13">
      <c r="A13" s="28" t="inlineStr">
        <is>
          <t>TOTAL EVENT INCOME</t>
        </is>
      </c>
      <c r="C13" s="29">
        <f>SUM(C9:C12)</f>
        <v/>
      </c>
    </row>
    <row r="15">
      <c r="A15" s="3" t="inlineStr">
        <is>
          <t>EVENT EXPENSES</t>
        </is>
      </c>
      <c r="C15" s="24" t="inlineStr">
        <is>
          <t>AMOUNT</t>
        </is>
      </c>
    </row>
    <row r="16">
      <c r="A16" t="inlineStr">
        <is>
          <t>Venue Rental</t>
        </is>
      </c>
      <c r="C16" s="26" t="n"/>
    </row>
    <row r="17">
      <c r="A17" t="inlineStr">
        <is>
          <t>Food &amp; Catering</t>
        </is>
      </c>
      <c r="C17" s="26" t="n"/>
    </row>
    <row r="18">
      <c r="A18" t="inlineStr">
        <is>
          <t>Entertainment/Speaker Fees</t>
        </is>
      </c>
      <c r="C18" s="26" t="n"/>
    </row>
    <row r="19">
      <c r="A19" t="inlineStr">
        <is>
          <t>Decorations</t>
        </is>
      </c>
      <c r="C19" s="26" t="n"/>
    </row>
    <row r="20">
      <c r="A20" t="inlineStr">
        <is>
          <t>Marketing &amp; Promotion</t>
        </is>
      </c>
      <c r="C20" s="26" t="n"/>
    </row>
    <row r="21">
      <c r="A21" t="inlineStr">
        <is>
          <t>Supplies &amp; Materials</t>
        </is>
      </c>
      <c r="C21" s="26" t="n"/>
    </row>
    <row r="22">
      <c r="A22" t="inlineStr">
        <is>
          <t>Equipment Rental</t>
        </is>
      </c>
      <c r="C22" s="26" t="n"/>
    </row>
    <row r="23">
      <c r="A23" t="inlineStr">
        <is>
          <t>Staff/Security</t>
        </is>
      </c>
      <c r="C23" s="26" t="n"/>
    </row>
    <row r="24">
      <c r="A24" t="inlineStr">
        <is>
          <t>Contingency (10%)</t>
        </is>
      </c>
      <c r="C24" s="26" t="n"/>
    </row>
    <row r="25">
      <c r="A25" t="inlineStr">
        <is>
          <t>Other Expenses</t>
        </is>
      </c>
      <c r="C25" s="26" t="n"/>
    </row>
    <row r="26">
      <c r="A26" s="28" t="inlineStr">
        <is>
          <t>TOTAL EVENT EXPENSES</t>
        </is>
      </c>
      <c r="C26" s="29">
        <f>SUM(C16:C25)</f>
        <v/>
      </c>
    </row>
    <row r="28">
      <c r="A28" s="3" t="inlineStr">
        <is>
          <t>EVENT SUMMARY</t>
        </is>
      </c>
    </row>
    <row r="29">
      <c r="A29" s="6" t="inlineStr">
        <is>
          <t>Total Income</t>
        </is>
      </c>
      <c r="C29" s="26">
        <f>C13</f>
        <v/>
      </c>
    </row>
    <row r="30">
      <c r="A30" s="6" t="inlineStr">
        <is>
          <t>Total Expenses</t>
        </is>
      </c>
      <c r="C30" s="26">
        <f>C26</f>
        <v/>
      </c>
    </row>
    <row r="31">
      <c r="A31" s="36" t="inlineStr">
        <is>
          <t>Net Profit/Loss</t>
        </is>
      </c>
      <c r="C31" s="40">
        <f>C13-C26</f>
        <v/>
      </c>
    </row>
    <row r="32">
      <c r="A32" s="6" t="inlineStr">
        <is>
          <t>Cost Per Attendee</t>
        </is>
      </c>
      <c r="C32" s="30">
        <f>IF(B6&gt;0,C26/B6,0)</f>
        <v/>
      </c>
    </row>
    <row r="33">
      <c r="A33" s="6" t="inlineStr">
        <is>
          <t>Break-Even Ticket Price</t>
        </is>
      </c>
      <c r="C33" s="30">
        <f>IF(B6&gt;0,C26/B6,0)</f>
        <v/>
      </c>
    </row>
  </sheetData>
  <mergeCells count="27">
    <mergeCell ref="A24:B24"/>
    <mergeCell ref="A30:B30"/>
    <mergeCell ref="A15:B15"/>
    <mergeCell ref="A11:B11"/>
    <mergeCell ref="A16:B16"/>
    <mergeCell ref="A25:B25"/>
    <mergeCell ref="A18:B18"/>
    <mergeCell ref="A12:B12"/>
    <mergeCell ref="A1:D1"/>
    <mergeCell ref="A26:B26"/>
    <mergeCell ref="A21:B21"/>
    <mergeCell ref="A28:C28"/>
    <mergeCell ref="A33:B33"/>
    <mergeCell ref="B4:D4"/>
    <mergeCell ref="A32:B32"/>
    <mergeCell ref="A23:B23"/>
    <mergeCell ref="A17:B17"/>
    <mergeCell ref="A8:B8"/>
    <mergeCell ref="A22:B22"/>
    <mergeCell ref="A20:B20"/>
    <mergeCell ref="A29:B29"/>
    <mergeCell ref="A19:B19"/>
    <mergeCell ref="A10:B10"/>
    <mergeCell ref="A13:B13"/>
    <mergeCell ref="A2:D2"/>
    <mergeCell ref="A9:B9"/>
    <mergeCell ref="A31:B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0" t="inlineStr">
        <is>
          <t>MONTHLY BUDGET TRACKER</t>
        </is>
      </c>
    </row>
    <row r="2">
      <c r="A2" s="35" t="inlineStr">
        <is>
          <t>Track budgeted vs actual income and expenses each month</t>
        </is>
      </c>
    </row>
    <row r="4">
      <c r="A4" s="24" t="inlineStr">
        <is>
          <t>MONTH</t>
        </is>
      </c>
      <c r="B4" s="24" t="inlineStr">
        <is>
          <t>BUDGETED INCOME</t>
        </is>
      </c>
      <c r="C4" s="24" t="inlineStr">
        <is>
          <t>ACTUAL INCOME</t>
        </is>
      </c>
      <c r="D4" s="24" t="inlineStr">
        <is>
          <t>BUDGETED EXPENSES</t>
        </is>
      </c>
      <c r="E4" s="24" t="inlineStr">
        <is>
          <t>ACTUAL EXPENSES</t>
        </is>
      </c>
      <c r="F4" s="24" t="inlineStr">
        <is>
          <t>NET POSITION</t>
        </is>
      </c>
      <c r="G4" s="24" t="inlineStr">
        <is>
          <t>VARIANCE</t>
        </is>
      </c>
    </row>
    <row r="5">
      <c r="A5" s="6" t="inlineStr">
        <is>
          <t>August</t>
        </is>
      </c>
      <c r="B5" s="26" t="n"/>
      <c r="C5" s="26" t="n"/>
      <c r="D5" s="26" t="n"/>
      <c r="E5" s="26" t="n"/>
      <c r="F5" s="30">
        <f>C5-E5</f>
        <v/>
      </c>
      <c r="G5" s="30">
        <f>(C5-B5)+(D5-E5)</f>
        <v/>
      </c>
    </row>
    <row r="6">
      <c r="A6" s="6" t="inlineStr">
        <is>
          <t>September</t>
        </is>
      </c>
      <c r="B6" s="26" t="n"/>
      <c r="C6" s="26" t="n"/>
      <c r="D6" s="26" t="n"/>
      <c r="E6" s="26" t="n"/>
      <c r="F6" s="30">
        <f>C6-E6</f>
        <v/>
      </c>
      <c r="G6" s="30">
        <f>(C6-B6)+(D6-E6)</f>
        <v/>
      </c>
    </row>
    <row r="7">
      <c r="A7" s="6" t="inlineStr">
        <is>
          <t>October</t>
        </is>
      </c>
      <c r="B7" s="26" t="n"/>
      <c r="C7" s="26" t="n"/>
      <c r="D7" s="26" t="n"/>
      <c r="E7" s="26" t="n"/>
      <c r="F7" s="30">
        <f>C7-E7</f>
        <v/>
      </c>
      <c r="G7" s="30">
        <f>(C7-B7)+(D7-E7)</f>
        <v/>
      </c>
    </row>
    <row r="8">
      <c r="A8" s="6" t="inlineStr">
        <is>
          <t>November</t>
        </is>
      </c>
      <c r="B8" s="26" t="n"/>
      <c r="C8" s="26" t="n"/>
      <c r="D8" s="26" t="n"/>
      <c r="E8" s="26" t="n"/>
      <c r="F8" s="30">
        <f>C8-E8</f>
        <v/>
      </c>
      <c r="G8" s="30">
        <f>(C8-B8)+(D8-E8)</f>
        <v/>
      </c>
    </row>
    <row r="9">
      <c r="A9" s="6" t="inlineStr">
        <is>
          <t>December</t>
        </is>
      </c>
      <c r="B9" s="26" t="n"/>
      <c r="C9" s="26" t="n"/>
      <c r="D9" s="26" t="n"/>
      <c r="E9" s="26" t="n"/>
      <c r="F9" s="30">
        <f>C9-E9</f>
        <v/>
      </c>
      <c r="G9" s="30">
        <f>(C9-B9)+(D9-E9)</f>
        <v/>
      </c>
    </row>
    <row r="10">
      <c r="A10" s="6" t="inlineStr">
        <is>
          <t>January</t>
        </is>
      </c>
      <c r="B10" s="26" t="n"/>
      <c r="C10" s="26" t="n"/>
      <c r="D10" s="26" t="n"/>
      <c r="E10" s="26" t="n"/>
      <c r="F10" s="30">
        <f>C10-E10</f>
        <v/>
      </c>
      <c r="G10" s="30">
        <f>(C10-B10)+(D10-E10)</f>
        <v/>
      </c>
    </row>
    <row r="11">
      <c r="A11" s="6" t="inlineStr">
        <is>
          <t>February</t>
        </is>
      </c>
      <c r="B11" s="26" t="n"/>
      <c r="C11" s="26" t="n"/>
      <c r="D11" s="26" t="n"/>
      <c r="E11" s="26" t="n"/>
      <c r="F11" s="30">
        <f>C11-E11</f>
        <v/>
      </c>
      <c r="G11" s="30">
        <f>(C11-B11)+(D11-E11)</f>
        <v/>
      </c>
    </row>
    <row r="12">
      <c r="A12" s="6" t="inlineStr">
        <is>
          <t>March</t>
        </is>
      </c>
      <c r="B12" s="26" t="n"/>
      <c r="C12" s="26" t="n"/>
      <c r="D12" s="26" t="n"/>
      <c r="E12" s="26" t="n"/>
      <c r="F12" s="30">
        <f>C12-E12</f>
        <v/>
      </c>
      <c r="G12" s="30">
        <f>(C12-B12)+(D12-E12)</f>
        <v/>
      </c>
    </row>
    <row r="13">
      <c r="A13" s="6" t="inlineStr">
        <is>
          <t>April</t>
        </is>
      </c>
      <c r="B13" s="26" t="n"/>
      <c r="C13" s="26" t="n"/>
      <c r="D13" s="26" t="n"/>
      <c r="E13" s="26" t="n"/>
      <c r="F13" s="30">
        <f>C13-E13</f>
        <v/>
      </c>
      <c r="G13" s="30">
        <f>(C13-B13)+(D13-E13)</f>
        <v/>
      </c>
    </row>
    <row r="14">
      <c r="A14" s="6" t="inlineStr">
        <is>
          <t>May</t>
        </is>
      </c>
      <c r="B14" s="26" t="n"/>
      <c r="C14" s="26" t="n"/>
      <c r="D14" s="26" t="n"/>
      <c r="E14" s="26" t="n"/>
      <c r="F14" s="30">
        <f>C14-E14</f>
        <v/>
      </c>
      <c r="G14" s="30">
        <f>(C14-B14)+(D14-E14)</f>
        <v/>
      </c>
    </row>
    <row r="15">
      <c r="A15" s="28" t="inlineStr">
        <is>
          <t>YEAR-TO-DATE TOTALS</t>
        </is>
      </c>
      <c r="B15" s="29">
        <f>SUM(B5:B14)</f>
        <v/>
      </c>
      <c r="C15" s="29">
        <f>SUM(C5:C14)</f>
        <v/>
      </c>
      <c r="D15" s="29">
        <f>SUM(D5:D14)</f>
        <v/>
      </c>
      <c r="E15" s="29">
        <f>SUM(E5:E14)</f>
        <v/>
      </c>
      <c r="F15" s="29">
        <f>C15-E15</f>
        <v/>
      </c>
      <c r="G15" s="29">
        <f>SUM(G5:G14)</f>
        <v/>
      </c>
    </row>
    <row r="18">
      <c r="A18" s="3" t="inlineStr">
        <is>
          <t>RUNNING BALANCE</t>
        </is>
      </c>
    </row>
    <row r="19">
      <c r="A19" s="6" t="inlineStr">
        <is>
          <t>Starting Balance (Rollover):</t>
        </is>
      </c>
      <c r="C19" s="26" t="n"/>
    </row>
    <row r="20">
      <c r="A20" s="6" t="inlineStr">
        <is>
          <t>YTD Income:</t>
        </is>
      </c>
      <c r="C20" s="30">
        <f>C15</f>
        <v/>
      </c>
    </row>
    <row r="21">
      <c r="A21" s="6" t="inlineStr">
        <is>
          <t>YTD Expenses:</t>
        </is>
      </c>
      <c r="C21" s="30">
        <f>E15</f>
        <v/>
      </c>
    </row>
    <row r="22">
      <c r="A22" s="32" t="inlineStr">
        <is>
          <t>CURRENT BALANCE:</t>
        </is>
      </c>
      <c r="C22" s="33">
        <f>C19+C20-C21</f>
        <v/>
      </c>
    </row>
  </sheetData>
  <mergeCells count="7">
    <mergeCell ref="A20:B20"/>
    <mergeCell ref="A21:B21"/>
    <mergeCell ref="A1:G1"/>
    <mergeCell ref="A19:B19"/>
    <mergeCell ref="A18:C18"/>
    <mergeCell ref="A2:G2"/>
    <mergeCell ref="A22:B22"/>
  </mergeCells>
  <conditionalFormatting sqref="G5">
    <cfRule type="cellIs" priority="1" operator="lessThan" dxfId="3">
      <formula>0</formula>
    </cfRule>
    <cfRule type="cellIs" priority="2" operator="greaterThan" dxfId="4">
      <formula>0</formula>
    </cfRule>
  </conditionalFormatting>
  <conditionalFormatting sqref="G6">
    <cfRule type="cellIs" priority="3" operator="lessThan" dxfId="3">
      <formula>0</formula>
    </cfRule>
    <cfRule type="cellIs" priority="4" operator="greaterThan" dxfId="4">
      <formula>0</formula>
    </cfRule>
  </conditionalFormatting>
  <conditionalFormatting sqref="G7">
    <cfRule type="cellIs" priority="5" operator="lessThan" dxfId="3">
      <formula>0</formula>
    </cfRule>
    <cfRule type="cellIs" priority="6" operator="greaterThan" dxfId="4">
      <formula>0</formula>
    </cfRule>
  </conditionalFormatting>
  <conditionalFormatting sqref="G8">
    <cfRule type="cellIs" priority="7" operator="lessThan" dxfId="3">
      <formula>0</formula>
    </cfRule>
    <cfRule type="cellIs" priority="8" operator="greaterThan" dxfId="4">
      <formula>0</formula>
    </cfRule>
  </conditionalFormatting>
  <conditionalFormatting sqref="G9">
    <cfRule type="cellIs" priority="9" operator="lessThan" dxfId="3">
      <formula>0</formula>
    </cfRule>
    <cfRule type="cellIs" priority="10" operator="greaterThan" dxfId="4">
      <formula>0</formula>
    </cfRule>
  </conditionalFormatting>
  <conditionalFormatting sqref="G10">
    <cfRule type="cellIs" priority="11" operator="lessThan" dxfId="3">
      <formula>0</formula>
    </cfRule>
    <cfRule type="cellIs" priority="12" operator="greaterThan" dxfId="4">
      <formula>0</formula>
    </cfRule>
  </conditionalFormatting>
  <conditionalFormatting sqref="G11">
    <cfRule type="cellIs" priority="13" operator="lessThan" dxfId="3">
      <formula>0</formula>
    </cfRule>
    <cfRule type="cellIs" priority="14" operator="greaterThan" dxfId="4">
      <formula>0</formula>
    </cfRule>
  </conditionalFormatting>
  <conditionalFormatting sqref="G12">
    <cfRule type="cellIs" priority="15" operator="lessThan" dxfId="3">
      <formula>0</formula>
    </cfRule>
    <cfRule type="cellIs" priority="16" operator="greaterThan" dxfId="4">
      <formula>0</formula>
    </cfRule>
  </conditionalFormatting>
  <conditionalFormatting sqref="G13">
    <cfRule type="cellIs" priority="17" operator="lessThan" dxfId="3">
      <formula>0</formula>
    </cfRule>
    <cfRule type="cellIs" priority="18" operator="greaterThan" dxfId="4">
      <formula>0</formula>
    </cfRule>
  </conditionalFormatting>
  <conditionalFormatting sqref="G14">
    <cfRule type="cellIs" priority="19" operator="lessThan" dxfId="3">
      <formula>0</formula>
    </cfRule>
    <cfRule type="cellIs" priority="20" operator="greaterThan" dxfId="4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40" customWidth="1" min="4" max="4"/>
  </cols>
  <sheetData>
    <row r="1">
      <c r="A1" s="41" t="inlineStr">
        <is>
          <t>STUDENT GOVERNMENT ALLOCATION REQUEST</t>
        </is>
      </c>
    </row>
    <row r="2">
      <c r="A2" s="21" t="inlineStr">
        <is>
          <t>Academic Year: 2026-2027</t>
        </is>
      </c>
    </row>
    <row r="4">
      <c r="A4" s="15" t="inlineStr">
        <is>
          <t>ORGANIZATION INFORMATION</t>
        </is>
      </c>
    </row>
    <row r="5">
      <c r="A5" s="6" t="inlineStr">
        <is>
          <t>Organization Name:</t>
        </is>
      </c>
      <c r="B5" s="11" t="n"/>
      <c r="C5" s="22" t="n"/>
      <c r="D5" s="23" t="n"/>
    </row>
    <row r="6">
      <c r="A6" s="6" t="inlineStr">
        <is>
          <t>Mission Statement:</t>
        </is>
      </c>
      <c r="B6" s="11" t="n"/>
      <c r="C6" s="22" t="n"/>
      <c r="D6" s="23" t="n"/>
    </row>
    <row r="7">
      <c r="A7" s="6" t="inlineStr">
        <is>
          <t>Number of Active Members:</t>
        </is>
      </c>
      <c r="B7" s="11" t="n"/>
      <c r="C7" s="22" t="n"/>
      <c r="D7" s="23" t="n"/>
    </row>
    <row r="8">
      <c r="A8" s="6" t="inlineStr">
        <is>
          <t>Primary Contact Name:</t>
        </is>
      </c>
      <c r="B8" s="11" t="n"/>
      <c r="C8" s="22" t="n"/>
      <c r="D8" s="23" t="n"/>
    </row>
    <row r="9">
      <c r="A9" s="6" t="inlineStr">
        <is>
          <t>Contact Email:</t>
        </is>
      </c>
      <c r="B9" s="11" t="n"/>
      <c r="C9" s="22" t="n"/>
      <c r="D9" s="23" t="n"/>
    </row>
    <row r="10">
      <c r="A10" s="6" t="inlineStr">
        <is>
          <t>Faculty Advisor:</t>
        </is>
      </c>
      <c r="B10" s="11" t="n"/>
      <c r="C10" s="22" t="n"/>
      <c r="D10" s="23" t="n"/>
    </row>
    <row r="12">
      <c r="A12" s="15" t="inlineStr">
        <is>
          <t>FUNDING REQUEST SUMMARY</t>
        </is>
      </c>
    </row>
    <row r="13">
      <c r="A13" s="42" t="inlineStr">
        <is>
          <t>TOTAL AMOUNT REQUESTED:</t>
        </is>
      </c>
      <c r="C13" s="33" t="n"/>
    </row>
    <row r="15">
      <c r="A15" s="15" t="inlineStr">
        <is>
          <t>DETAILED BUDGET BREAKDOWN</t>
        </is>
      </c>
      <c r="C15" s="43" t="inlineStr">
        <is>
          <t>REQUESTED AMOUNT</t>
        </is>
      </c>
      <c r="D15" s="43" t="inlineStr">
        <is>
          <t>JUSTIFICATION</t>
        </is>
      </c>
    </row>
    <row r="16">
      <c r="A16" s="25" t="inlineStr">
        <is>
          <t>Events &amp; Programming</t>
        </is>
      </c>
      <c r="C16" s="26" t="n"/>
      <c r="D16" s="44" t="n"/>
    </row>
    <row r="17">
      <c r="A17" s="25" t="inlineStr">
        <is>
          <t>Food &amp; Catering</t>
        </is>
      </c>
      <c r="C17" s="26" t="n"/>
      <c r="D17" s="44" t="n"/>
    </row>
    <row r="18">
      <c r="A18" s="25" t="inlineStr">
        <is>
          <t>Marketing &amp; Printing</t>
        </is>
      </c>
      <c r="C18" s="26" t="n"/>
      <c r="D18" s="44" t="n"/>
    </row>
    <row r="19">
      <c r="A19" s="25" t="inlineStr">
        <is>
          <t>Travel &amp; Transportation</t>
        </is>
      </c>
      <c r="C19" s="26" t="n"/>
      <c r="D19" s="44" t="n"/>
    </row>
    <row r="20">
      <c r="A20" s="25" t="inlineStr">
        <is>
          <t>Supplies &amp; Materials</t>
        </is>
      </c>
      <c r="C20" s="26" t="n"/>
      <c r="D20" s="44" t="n"/>
    </row>
    <row r="21">
      <c r="A21" s="25" t="inlineStr">
        <is>
          <t>Speaker/Performer Fees</t>
        </is>
      </c>
      <c r="C21" s="26" t="n"/>
      <c r="D21" s="44" t="n"/>
    </row>
    <row r="22">
      <c r="A22" s="25" t="inlineStr">
        <is>
          <t>Equipment &amp; Technology</t>
        </is>
      </c>
      <c r="C22" s="26" t="n"/>
      <c r="D22" s="44" t="n"/>
    </row>
    <row r="23">
      <c r="A23" s="25" t="inlineStr">
        <is>
          <t>Administrative Costs</t>
        </is>
      </c>
      <c r="C23" s="26" t="n"/>
      <c r="D23" s="44" t="n"/>
    </row>
    <row r="24">
      <c r="A24" s="25" t="inlineStr">
        <is>
          <t>Contingency Fund</t>
        </is>
      </c>
      <c r="C24" s="26" t="n"/>
      <c r="D24" s="44" t="n"/>
    </row>
    <row r="25">
      <c r="A25" s="28" t="inlineStr">
        <is>
          <t>TOTAL REQUESTED</t>
        </is>
      </c>
      <c r="C25" s="29">
        <f>SUM(C16:C24)</f>
        <v/>
      </c>
    </row>
    <row r="27">
      <c r="A27" s="15" t="inlineStr">
        <is>
          <t>PREVIOUS YEAR FINANCIAL SUMMARY</t>
        </is>
      </c>
    </row>
    <row r="28">
      <c r="A28" s="6" t="inlineStr">
        <is>
          <t>Previous Year Allocation:</t>
        </is>
      </c>
      <c r="C28" s="26" t="n"/>
    </row>
    <row r="29">
      <c r="A29" s="6" t="inlineStr">
        <is>
          <t>Amount Spent:</t>
        </is>
      </c>
      <c r="C29" s="26" t="n"/>
    </row>
    <row r="30">
      <c r="A30" s="6" t="inlineStr">
        <is>
          <t>Number of Events Held:</t>
        </is>
      </c>
      <c r="C30" s="39" t="n"/>
    </row>
    <row r="31">
      <c r="A31" s="6" t="inlineStr">
        <is>
          <t>Total Student Attendance:</t>
        </is>
      </c>
      <c r="C31" s="39" t="n"/>
    </row>
    <row r="33">
      <c r="A33" s="15" t="inlineStr">
        <is>
          <t>IMPACT &amp; OUTCOMES</t>
        </is>
      </c>
    </row>
    <row r="34">
      <c r="A34" s="6" t="inlineStr">
        <is>
          <t>Describe the impact this funding will have on the student body:</t>
        </is>
      </c>
    </row>
    <row r="35">
      <c r="A35" s="45" t="n"/>
    </row>
    <row r="36"/>
    <row r="37"/>
    <row r="38"/>
    <row r="39">
      <c r="A39" s="6" t="inlineStr">
        <is>
          <t>Key metrics/outcomes you will track:</t>
        </is>
      </c>
    </row>
    <row r="40">
      <c r="A40" s="45" t="n"/>
    </row>
    <row r="41"/>
    <row r="42"/>
  </sheetData>
  <mergeCells count="32">
    <mergeCell ref="A24:B24"/>
    <mergeCell ref="A30:B30"/>
    <mergeCell ref="A15:B15"/>
    <mergeCell ref="A4:D4"/>
    <mergeCell ref="B8:D8"/>
    <mergeCell ref="B10:D10"/>
    <mergeCell ref="A16:B16"/>
    <mergeCell ref="A25:B25"/>
    <mergeCell ref="A34:D34"/>
    <mergeCell ref="A39:D39"/>
    <mergeCell ref="B9:D9"/>
    <mergeCell ref="A18:B18"/>
    <mergeCell ref="B6:D6"/>
    <mergeCell ref="A40:D42"/>
    <mergeCell ref="A1:D1"/>
    <mergeCell ref="A21:B21"/>
    <mergeCell ref="B5:D5"/>
    <mergeCell ref="A17:B17"/>
    <mergeCell ref="A23:B23"/>
    <mergeCell ref="B7:D7"/>
    <mergeCell ref="A22:B22"/>
    <mergeCell ref="A20:B20"/>
    <mergeCell ref="A27:D27"/>
    <mergeCell ref="A29:B29"/>
    <mergeCell ref="A12:D12"/>
    <mergeCell ref="A19:B19"/>
    <mergeCell ref="A28:B28"/>
    <mergeCell ref="A13:B13"/>
    <mergeCell ref="A2:D2"/>
    <mergeCell ref="A33:D33"/>
    <mergeCell ref="A31:B31"/>
    <mergeCell ref="A35:D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0" t="inlineStr">
        <is>
          <t>YEAR-END FINANCIAL REPORT</t>
        </is>
      </c>
    </row>
    <row r="2">
      <c r="A2" s="21" t="inlineStr">
        <is>
          <t>Academic Year: 2026-2027</t>
        </is>
      </c>
    </row>
    <row r="3">
      <c r="A3" s="6" t="inlineStr">
        <is>
          <t>Organization Name:</t>
        </is>
      </c>
      <c r="B3" s="11" t="n"/>
      <c r="C3" s="22" t="n"/>
      <c r="D3" s="22" t="n"/>
      <c r="E3" s="23" t="n"/>
    </row>
    <row r="5">
      <c r="A5" s="3" t="inlineStr">
        <is>
          <t>EXECUTIVE SUMMARY</t>
        </is>
      </c>
    </row>
    <row r="6">
      <c r="A6" s="43" t="inlineStr">
        <is>
          <t>METRIC</t>
        </is>
      </c>
      <c r="B6" s="43" t="inlineStr">
        <is>
          <t>BUDGETED</t>
        </is>
      </c>
      <c r="C6" s="43" t="inlineStr">
        <is>
          <t>ACTUAL</t>
        </is>
      </c>
      <c r="D6" s="43" t="inlineStr">
        <is>
          <t>VARIANCE</t>
        </is>
      </c>
      <c r="E6" s="43" t="inlineStr">
        <is>
          <t>VARIANCE %</t>
        </is>
      </c>
    </row>
    <row r="7">
      <c r="A7" s="6" t="inlineStr">
        <is>
          <t>Total Income</t>
        </is>
      </c>
      <c r="B7" s="26" t="n"/>
      <c r="C7" s="26" t="n"/>
      <c r="D7" s="30">
        <f>C7-B7</f>
        <v/>
      </c>
      <c r="E7" s="46">
        <f>IF(B7&lt;&gt;0,(C7-B7)/B7,0)</f>
        <v/>
      </c>
    </row>
    <row r="8">
      <c r="A8" s="6" t="inlineStr">
        <is>
          <t>Total Expenses</t>
        </is>
      </c>
      <c r="B8" s="26" t="n"/>
      <c r="C8" s="26" t="n"/>
      <c r="D8" s="30">
        <f>C8-B8</f>
        <v/>
      </c>
      <c r="E8" s="46">
        <f>IF(B8&lt;&gt;0,(C8-B8)/B8,0)</f>
        <v/>
      </c>
    </row>
    <row r="9">
      <c r="A9" s="6" t="inlineStr">
        <is>
          <t>Net Position</t>
        </is>
      </c>
      <c r="B9" s="26" t="n"/>
      <c r="C9" s="26" t="n"/>
      <c r="D9" s="30">
        <f>C9-B9</f>
        <v/>
      </c>
      <c r="E9" s="46">
        <f>IF(B9&lt;&gt;0,(C9-B9)/B9,0)</f>
        <v/>
      </c>
    </row>
    <row r="11">
      <c r="A11" s="3" t="inlineStr">
        <is>
          <t>INCOME BREAKDOWN</t>
        </is>
      </c>
    </row>
    <row r="12">
      <c r="A12" s="43" t="inlineStr">
        <is>
          <t>SOURCE</t>
        </is>
      </c>
      <c r="B12" s="43" t="inlineStr">
        <is>
          <t>BUDGETED</t>
        </is>
      </c>
      <c r="C12" s="43" t="inlineStr">
        <is>
          <t>ACTUAL</t>
        </is>
      </c>
      <c r="D12" s="43" t="inlineStr">
        <is>
          <t>VARIANCE</t>
        </is>
      </c>
      <c r="E12" s="43" t="inlineStr">
        <is>
          <t>VARIANCE %</t>
        </is>
      </c>
    </row>
    <row r="13">
      <c r="A13" t="inlineStr">
        <is>
          <t>Student Government Allocation</t>
        </is>
      </c>
      <c r="B13" s="26" t="n"/>
      <c r="C13" s="26" t="n"/>
      <c r="D13" s="30">
        <f>C13-B13</f>
        <v/>
      </c>
      <c r="E13" s="46">
        <f>IF(B13&lt;&gt;0,(C13-B13)/B13,0)</f>
        <v/>
      </c>
    </row>
    <row r="14">
      <c r="A14" t="inlineStr">
        <is>
          <t>Fundraising Revenue</t>
        </is>
      </c>
      <c r="B14" s="26" t="n"/>
      <c r="C14" s="26" t="n"/>
      <c r="D14" s="30">
        <f>C14-B14</f>
        <v/>
      </c>
      <c r="E14" s="46">
        <f>IF(B14&lt;&gt;0,(C14-B14)/B14,0)</f>
        <v/>
      </c>
    </row>
    <row r="15">
      <c r="A15" t="inlineStr">
        <is>
          <t>Membership Dues</t>
        </is>
      </c>
      <c r="B15" s="26" t="n"/>
      <c r="C15" s="26" t="n"/>
      <c r="D15" s="30">
        <f>C15-B15</f>
        <v/>
      </c>
      <c r="E15" s="46">
        <f>IF(B15&lt;&gt;0,(C15-B15)/B15,0)</f>
        <v/>
      </c>
    </row>
    <row r="16">
      <c r="A16" t="inlineStr">
        <is>
          <t>Event Ticket Sales</t>
        </is>
      </c>
      <c r="B16" s="26" t="n"/>
      <c r="C16" s="26" t="n"/>
      <c r="D16" s="30">
        <f>C16-B16</f>
        <v/>
      </c>
      <c r="E16" s="46">
        <f>IF(B16&lt;&gt;0,(C16-B16)/B16,0)</f>
        <v/>
      </c>
    </row>
    <row r="17">
      <c r="A17" t="inlineStr">
        <is>
          <t>Sponsorships</t>
        </is>
      </c>
      <c r="B17" s="26" t="n"/>
      <c r="C17" s="26" t="n"/>
      <c r="D17" s="30">
        <f>C17-B17</f>
        <v/>
      </c>
      <c r="E17" s="46">
        <f>IF(B17&lt;&gt;0,(C17-B17)/B17,0)</f>
        <v/>
      </c>
    </row>
    <row r="18">
      <c r="A18" t="inlineStr">
        <is>
          <t>Other Income</t>
        </is>
      </c>
      <c r="B18" s="26" t="n"/>
      <c r="C18" s="26" t="n"/>
      <c r="D18" s="30">
        <f>C18-B18</f>
        <v/>
      </c>
      <c r="E18" s="46">
        <f>IF(B18&lt;&gt;0,(C18-B18)/B18,0)</f>
        <v/>
      </c>
    </row>
    <row r="19">
      <c r="A19" s="28" t="inlineStr">
        <is>
          <t>TOTAL INCOME</t>
        </is>
      </c>
      <c r="B19" s="29">
        <f>SUM(B13:B18)</f>
        <v/>
      </c>
      <c r="C19" s="29">
        <f>SUM(C13:C18)</f>
        <v/>
      </c>
      <c r="D19" s="29">
        <f>C19-B19</f>
        <v/>
      </c>
      <c r="E19" s="47">
        <f>IF(B19&lt;&gt;0,(C19-B19)/B19,0)</f>
        <v/>
      </c>
    </row>
    <row r="21">
      <c r="A21" s="3" t="inlineStr">
        <is>
          <t>EXPENSE BREAKDOWN</t>
        </is>
      </c>
    </row>
    <row r="22">
      <c r="A22" s="43" t="inlineStr">
        <is>
          <t>CATEGORY</t>
        </is>
      </c>
      <c r="B22" s="43" t="inlineStr">
        <is>
          <t>BUDGETED</t>
        </is>
      </c>
      <c r="C22" s="43" t="inlineStr">
        <is>
          <t>ACTUAL</t>
        </is>
      </c>
      <c r="D22" s="43" t="inlineStr">
        <is>
          <t>VARIANCE</t>
        </is>
      </c>
      <c r="E22" s="43" t="inlineStr">
        <is>
          <t>VARIANCE %</t>
        </is>
      </c>
    </row>
    <row r="23">
      <c r="A23" t="inlineStr">
        <is>
          <t>Events &amp; Programming</t>
        </is>
      </c>
      <c r="B23" s="26" t="n"/>
      <c r="C23" s="26" t="n"/>
      <c r="D23" s="30">
        <f>C23-B23</f>
        <v/>
      </c>
      <c r="E23" s="46">
        <f>IF(B23&lt;&gt;0,(C23-B23)/B23,0)</f>
        <v/>
      </c>
    </row>
    <row r="24">
      <c r="A24" t="inlineStr">
        <is>
          <t>Food &amp; Catering</t>
        </is>
      </c>
      <c r="B24" s="26" t="n"/>
      <c r="C24" s="26" t="n"/>
      <c r="D24" s="30">
        <f>C24-B24</f>
        <v/>
      </c>
      <c r="E24" s="46">
        <f>IF(B24&lt;&gt;0,(C24-B24)/B24,0)</f>
        <v/>
      </c>
    </row>
    <row r="25">
      <c r="A25" t="inlineStr">
        <is>
          <t>Marketing &amp; Printing</t>
        </is>
      </c>
      <c r="B25" s="26" t="n"/>
      <c r="C25" s="26" t="n"/>
      <c r="D25" s="30">
        <f>C25-B25</f>
        <v/>
      </c>
      <c r="E25" s="46">
        <f>IF(B25&lt;&gt;0,(C25-B25)/B25,0)</f>
        <v/>
      </c>
    </row>
    <row r="26">
      <c r="A26" t="inlineStr">
        <is>
          <t>Travel &amp; Transportation</t>
        </is>
      </c>
      <c r="B26" s="26" t="n"/>
      <c r="C26" s="26" t="n"/>
      <c r="D26" s="30">
        <f>C26-B26</f>
        <v/>
      </c>
      <c r="E26" s="46">
        <f>IF(B26&lt;&gt;0,(C26-B26)/B26,0)</f>
        <v/>
      </c>
    </row>
    <row r="27">
      <c r="A27" t="inlineStr">
        <is>
          <t>Supplies &amp; Materials</t>
        </is>
      </c>
      <c r="B27" s="26" t="n"/>
      <c r="C27" s="26" t="n"/>
      <c r="D27" s="30">
        <f>C27-B27</f>
        <v/>
      </c>
      <c r="E27" s="46">
        <f>IF(B27&lt;&gt;0,(C27-B27)/B27,0)</f>
        <v/>
      </c>
    </row>
    <row r="28">
      <c r="A28" t="inlineStr">
        <is>
          <t>Speaker/Performer Fees</t>
        </is>
      </c>
      <c r="B28" s="26" t="n"/>
      <c r="C28" s="26" t="n"/>
      <c r="D28" s="30">
        <f>C28-B28</f>
        <v/>
      </c>
      <c r="E28" s="46">
        <f>IF(B28&lt;&gt;0,(C28-B28)/B28,0)</f>
        <v/>
      </c>
    </row>
    <row r="29">
      <c r="A29" t="inlineStr">
        <is>
          <t>Equipment &amp; Technology</t>
        </is>
      </c>
      <c r="B29" s="26" t="n"/>
      <c r="C29" s="26" t="n"/>
      <c r="D29" s="30">
        <f>C29-B29</f>
        <v/>
      </c>
      <c r="E29" s="46">
        <f>IF(B29&lt;&gt;0,(C29-B29)/B29,0)</f>
        <v/>
      </c>
    </row>
    <row r="30">
      <c r="A30" t="inlineStr">
        <is>
          <t>Administrative Costs</t>
        </is>
      </c>
      <c r="B30" s="26" t="n"/>
      <c r="C30" s="26" t="n"/>
      <c r="D30" s="30">
        <f>C30-B30</f>
        <v/>
      </c>
      <c r="E30" s="46">
        <f>IF(B30&lt;&gt;0,(C30-B30)/B30,0)</f>
        <v/>
      </c>
    </row>
    <row r="31">
      <c r="A31" t="inlineStr">
        <is>
          <t>Contingency Fund</t>
        </is>
      </c>
      <c r="B31" s="26" t="n"/>
      <c r="C31" s="26" t="n"/>
      <c r="D31" s="30">
        <f>C31-B31</f>
        <v/>
      </c>
      <c r="E31" s="46">
        <f>IF(B31&lt;&gt;0,(C31-B31)/B31,0)</f>
        <v/>
      </c>
    </row>
    <row r="32">
      <c r="A32" s="28" t="inlineStr">
        <is>
          <t>TOTAL EXPENSES</t>
        </is>
      </c>
      <c r="B32" s="29">
        <f>SUM(B23:B31)</f>
        <v/>
      </c>
      <c r="C32" s="29">
        <f>SUM(C23:C31)</f>
        <v/>
      </c>
      <c r="D32" s="29">
        <f>C32-B32</f>
        <v/>
      </c>
      <c r="E32" s="47">
        <f>IF(B32&lt;&gt;0,(C32-B32)/B32,0)</f>
        <v/>
      </c>
    </row>
    <row r="34">
      <c r="A34" s="3" t="inlineStr">
        <is>
          <t>KEY ACHIEVEMENTS &amp; METRICS</t>
        </is>
      </c>
    </row>
    <row r="35">
      <c r="A35" s="6" t="inlineStr">
        <is>
          <t>Total Events Held:</t>
        </is>
      </c>
      <c r="C35" s="11" t="n"/>
    </row>
    <row r="36">
      <c r="A36" s="6" t="inlineStr">
        <is>
          <t>Total Student Attendance:</t>
        </is>
      </c>
      <c r="C36" s="11" t="n"/>
    </row>
    <row r="37">
      <c r="A37" s="6" t="inlineStr">
        <is>
          <t>New Members Recruited:</t>
        </is>
      </c>
      <c r="C37" s="11" t="n"/>
    </row>
    <row r="38">
      <c r="A38" s="6" t="inlineStr">
        <is>
          <t>Funds Raised (External):</t>
        </is>
      </c>
      <c r="C38" s="11" t="n"/>
    </row>
    <row r="39">
      <c r="A39" s="6" t="inlineStr">
        <is>
          <t>Community Service Hours:</t>
        </is>
      </c>
      <c r="C39" s="11" t="n"/>
    </row>
    <row r="41">
      <c r="A41" s="3" t="inlineStr">
        <is>
          <t>FUND ROLLOVER</t>
        </is>
      </c>
    </row>
    <row r="42">
      <c r="A42" s="6" t="inlineStr">
        <is>
          <t>Ending Balance:</t>
        </is>
      </c>
      <c r="C42" s="40" t="n"/>
    </row>
    <row r="43">
      <c r="A43" s="6" t="inlineStr">
        <is>
          <t>Funds to Rollover to Next Year:</t>
        </is>
      </c>
      <c r="C43" s="30">
        <f>C42</f>
        <v/>
      </c>
    </row>
  </sheetData>
  <mergeCells count="15">
    <mergeCell ref="A21:E21"/>
    <mergeCell ref="A34:E34"/>
    <mergeCell ref="A38:B38"/>
    <mergeCell ref="A2:E2"/>
    <mergeCell ref="A43:B43"/>
    <mergeCell ref="A41:E41"/>
    <mergeCell ref="A42:B42"/>
    <mergeCell ref="A11:E11"/>
    <mergeCell ref="A37:B37"/>
    <mergeCell ref="A36:B36"/>
    <mergeCell ref="A1:E1"/>
    <mergeCell ref="A5:E5"/>
    <mergeCell ref="B3:E3"/>
    <mergeCell ref="A39:B39"/>
    <mergeCell ref="A35:B35"/>
  </mergeCells>
  <conditionalFormatting sqref="D7">
    <cfRule type="cellIs" priority="1" operator="lessThan" dxfId="3">
      <formula>0</formula>
    </cfRule>
    <cfRule type="cellIs" priority="2" operator="greaterThan" dxfId="4">
      <formula>0</formula>
    </cfRule>
  </conditionalFormatting>
  <conditionalFormatting sqref="D8">
    <cfRule type="cellIs" priority="3" operator="lessThan" dxfId="3">
      <formula>0</formula>
    </cfRule>
    <cfRule type="cellIs" priority="4" operator="greaterThan" dxfId="4">
      <formula>0</formula>
    </cfRule>
  </conditionalFormatting>
  <conditionalFormatting sqref="D9">
    <cfRule type="cellIs" priority="5" operator="lessThan" dxfId="3">
      <formula>0</formula>
    </cfRule>
    <cfRule type="cellIs" priority="6" operator="greaterThan" dxfId="4">
      <formula>0</formula>
    </cfRule>
  </conditionalFormatting>
  <conditionalFormatting sqref="D23">
    <cfRule type="cellIs" priority="7" operator="greaterThan" dxfId="3">
      <formula>0</formula>
    </cfRule>
    <cfRule type="cellIs" priority="8" operator="lessThan" dxfId="4">
      <formula>0</formula>
    </cfRule>
  </conditionalFormatting>
  <conditionalFormatting sqref="D24">
    <cfRule type="cellIs" priority="9" operator="greaterThan" dxfId="3">
      <formula>0</formula>
    </cfRule>
    <cfRule type="cellIs" priority="10" operator="lessThan" dxfId="4">
      <formula>0</formula>
    </cfRule>
  </conditionalFormatting>
  <conditionalFormatting sqref="D25">
    <cfRule type="cellIs" priority="11" operator="greaterThan" dxfId="3">
      <formula>0</formula>
    </cfRule>
    <cfRule type="cellIs" priority="12" operator="lessThan" dxfId="4">
      <formula>0</formula>
    </cfRule>
  </conditionalFormatting>
  <conditionalFormatting sqref="D26">
    <cfRule type="cellIs" priority="13" operator="greaterThan" dxfId="3">
      <formula>0</formula>
    </cfRule>
    <cfRule type="cellIs" priority="14" operator="lessThan" dxfId="4">
      <formula>0</formula>
    </cfRule>
  </conditionalFormatting>
  <conditionalFormatting sqref="D27">
    <cfRule type="cellIs" priority="15" operator="greaterThan" dxfId="3">
      <formula>0</formula>
    </cfRule>
    <cfRule type="cellIs" priority="16" operator="lessThan" dxfId="4">
      <formula>0</formula>
    </cfRule>
  </conditionalFormatting>
  <conditionalFormatting sqref="D28">
    <cfRule type="cellIs" priority="17" operator="greaterThan" dxfId="3">
      <formula>0</formula>
    </cfRule>
    <cfRule type="cellIs" priority="18" operator="lessThan" dxfId="4">
      <formula>0</formula>
    </cfRule>
  </conditionalFormatting>
  <conditionalFormatting sqref="D29">
    <cfRule type="cellIs" priority="19" operator="greaterThan" dxfId="3">
      <formula>0</formula>
    </cfRule>
    <cfRule type="cellIs" priority="20" operator="lessThan" dxfId="4">
      <formula>0</formula>
    </cfRule>
  </conditionalFormatting>
  <conditionalFormatting sqref="D30">
    <cfRule type="cellIs" priority="21" operator="greaterThan" dxfId="3">
      <formula>0</formula>
    </cfRule>
    <cfRule type="cellIs" priority="22" operator="lessThan" dxfId="4">
      <formula>0</formula>
    </cfRule>
  </conditionalFormatting>
  <conditionalFormatting sqref="D31">
    <cfRule type="cellIs" priority="23" operator="greaterThan" dxfId="3">
      <formula>0</formula>
    </cfRule>
    <cfRule type="cellIs" priority="24" operator="lessThan" dxfId="4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40" customWidth="1" min="4" max="4"/>
  </cols>
  <sheetData>
    <row r="1">
      <c r="A1" s="20" t="inlineStr">
        <is>
          <t>EXAMPLE BUDGET - Computer Science Club</t>
        </is>
      </c>
    </row>
    <row r="2">
      <c r="A2" s="21" t="inlineStr">
        <is>
          <t>Academic Year: 2026-2027</t>
        </is>
      </c>
    </row>
    <row r="3">
      <c r="A3" s="6" t="inlineStr">
        <is>
          <t>Organization Name: Computer Science Club</t>
        </is>
      </c>
    </row>
    <row r="5">
      <c r="A5" s="3" t="inlineStr">
        <is>
          <t>INCOME SOURCES</t>
        </is>
      </c>
      <c r="C5" s="24" t="inlineStr">
        <is>
          <t>PROJECTED AMOUNT</t>
        </is>
      </c>
      <c r="D5" s="24" t="inlineStr">
        <is>
          <t>NOTES</t>
        </is>
      </c>
    </row>
    <row r="6">
      <c r="A6" s="25" t="inlineStr">
        <is>
          <t>Student Government Allocation</t>
        </is>
      </c>
      <c r="C6" s="26" t="n">
        <v>8000</v>
      </c>
      <c r="D6" s="27" t="inlineStr">
        <is>
          <t>Main funding source</t>
        </is>
      </c>
    </row>
    <row r="7">
      <c r="A7" s="25" t="inlineStr">
        <is>
          <t>Fundraising Revenue</t>
        </is>
      </c>
      <c r="C7" s="26" t="n">
        <v>2000</v>
      </c>
      <c r="D7" s="27" t="inlineStr">
        <is>
          <t>Hackathon sponsorships</t>
        </is>
      </c>
    </row>
    <row r="8">
      <c r="A8" s="25" t="inlineStr">
        <is>
          <t>Membership Dues</t>
        </is>
      </c>
      <c r="C8" s="26" t="n">
        <v>1500</v>
      </c>
      <c r="D8" s="27" t="inlineStr">
        <is>
          <t>50 members x $30</t>
        </is>
      </c>
    </row>
    <row r="9">
      <c r="A9" s="25" t="inlineStr">
        <is>
          <t>Event Ticket Sales</t>
        </is>
      </c>
      <c r="C9" s="26" t="n">
        <v>800</v>
      </c>
      <c r="D9" s="27" t="inlineStr">
        <is>
          <t>Tech talks and workshops</t>
        </is>
      </c>
    </row>
    <row r="10">
      <c r="A10" s="25" t="inlineStr">
        <is>
          <t>Sponsorships</t>
        </is>
      </c>
      <c r="C10" s="26" t="n">
        <v>3000</v>
      </c>
      <c r="D10" s="27" t="inlineStr">
        <is>
          <t>Local tech companies</t>
        </is>
      </c>
    </row>
    <row r="11">
      <c r="A11" s="25" t="inlineStr">
        <is>
          <t>Donations</t>
        </is>
      </c>
      <c r="C11" s="26" t="n">
        <v>500</v>
      </c>
      <c r="D11" s="27" t="inlineStr">
        <is>
          <t>Alumni donations</t>
        </is>
      </c>
    </row>
    <row r="12">
      <c r="A12" s="25" t="inlineStr">
        <is>
          <t>Grants</t>
        </is>
      </c>
      <c r="C12" s="26" t="n">
        <v>0</v>
      </c>
      <c r="D12" s="27" t="inlineStr"/>
    </row>
    <row r="13">
      <c r="A13" s="25" t="inlineStr">
        <is>
          <t>Rollover from Previous Year</t>
        </is>
      </c>
      <c r="C13" s="26" t="n">
        <v>1200</v>
      </c>
      <c r="D13" s="27" t="inlineStr">
        <is>
          <t>Ending balance from last year</t>
        </is>
      </c>
    </row>
    <row r="14">
      <c r="A14" s="25" t="inlineStr">
        <is>
          <t>Other Income</t>
        </is>
      </c>
      <c r="C14" s="26" t="n">
        <v>0</v>
      </c>
      <c r="D14" s="27" t="inlineStr"/>
    </row>
    <row r="15">
      <c r="A15" s="28" t="inlineStr">
        <is>
          <t>TOTAL PROJECTED INCOME</t>
        </is>
      </c>
      <c r="C15" s="29">
        <f>SUM(C6:C14)</f>
        <v/>
      </c>
    </row>
    <row r="18">
      <c r="A18" s="3" t="inlineStr">
        <is>
          <t>EXPENSE CATEGORIES</t>
        </is>
      </c>
      <c r="C18" s="24" t="inlineStr">
        <is>
          <t>BUDGETED AMOUNT</t>
        </is>
      </c>
      <c r="D18" s="24" t="inlineStr">
        <is>
          <t>NOTES</t>
        </is>
      </c>
    </row>
    <row r="19">
      <c r="A19" s="25" t="inlineStr">
        <is>
          <t>Events &amp; Programming</t>
        </is>
      </c>
      <c r="C19" s="26" t="n">
        <v>6000</v>
      </c>
      <c r="D19" s="27" t="inlineStr">
        <is>
          <t>Hackathon, tech talks, workshops</t>
        </is>
      </c>
    </row>
    <row r="20">
      <c r="A20" s="25" t="inlineStr">
        <is>
          <t>Food &amp; Catering</t>
        </is>
      </c>
      <c r="C20" s="26" t="n">
        <v>3500</v>
      </c>
      <c r="D20" s="27" t="inlineStr">
        <is>
          <t>Weekly meetings + event catering</t>
        </is>
      </c>
    </row>
    <row r="21">
      <c r="A21" s="25" t="inlineStr">
        <is>
          <t>Marketing &amp; Printing</t>
        </is>
      </c>
      <c r="C21" s="26" t="n">
        <v>800</v>
      </c>
      <c r="D21" s="27" t="inlineStr">
        <is>
          <t>Flyers, banners, social media</t>
        </is>
      </c>
    </row>
    <row r="22">
      <c r="A22" s="25" t="inlineStr">
        <is>
          <t>Travel &amp; Transportation</t>
        </is>
      </c>
      <c r="C22" s="26" t="n">
        <v>2000</v>
      </c>
      <c r="D22" s="27" t="inlineStr">
        <is>
          <t>Conference travel for officers</t>
        </is>
      </c>
    </row>
    <row r="23">
      <c r="A23" s="25" t="inlineStr">
        <is>
          <t>Supplies &amp; Materials</t>
        </is>
      </c>
      <c r="C23" s="26" t="n">
        <v>600</v>
      </c>
      <c r="D23" s="27" t="inlineStr">
        <is>
          <t>Office supplies, swag</t>
        </is>
      </c>
    </row>
    <row r="24">
      <c r="A24" s="25" t="inlineStr">
        <is>
          <t>Speaker/Performer Fees</t>
        </is>
      </c>
      <c r="C24" s="26" t="n">
        <v>1500</v>
      </c>
      <c r="D24" s="27" t="inlineStr">
        <is>
          <t>Guest speakers for tech talks</t>
        </is>
      </c>
    </row>
    <row r="25">
      <c r="A25" s="25" t="inlineStr">
        <is>
          <t>Equipment &amp; Technology</t>
        </is>
      </c>
      <c r="C25" s="26" t="n">
        <v>1200</v>
      </c>
      <c r="D25" s="27" t="inlineStr">
        <is>
          <t>Raspberry Pi kits, software licenses</t>
        </is>
      </c>
    </row>
    <row r="26">
      <c r="A26" s="25" t="inlineStr">
        <is>
          <t>Venue Rental</t>
        </is>
      </c>
      <c r="C26" s="26" t="n">
        <v>0</v>
      </c>
      <c r="D26" s="27" t="inlineStr">
        <is>
          <t>Using campus facilities</t>
        </is>
      </c>
    </row>
    <row r="27">
      <c r="A27" s="25" t="inlineStr">
        <is>
          <t>Merchandise &amp; Apparel</t>
        </is>
      </c>
      <c r="C27" s="26" t="n">
        <v>800</v>
      </c>
      <c r="D27" s="27" t="inlineStr">
        <is>
          <t>Club t-shirts</t>
        </is>
      </c>
    </row>
    <row r="28">
      <c r="A28" s="25" t="inlineStr">
        <is>
          <t>Administrative Costs</t>
        </is>
      </c>
      <c r="C28" s="26" t="n">
        <v>200</v>
      </c>
      <c r="D28" s="27" t="inlineStr">
        <is>
          <t>Bank fees, insurance</t>
        </is>
      </c>
    </row>
    <row r="29">
      <c r="A29" s="25" t="inlineStr">
        <is>
          <t>Professional Development</t>
        </is>
      </c>
      <c r="C29" s="26" t="n">
        <v>400</v>
      </c>
      <c r="D29" s="27" t="inlineStr">
        <is>
          <t>Officer training</t>
        </is>
      </c>
    </row>
    <row r="30">
      <c r="A30" s="25" t="inlineStr">
        <is>
          <t>Other Expenses</t>
        </is>
      </c>
      <c r="C30" s="26" t="n">
        <v>300</v>
      </c>
      <c r="D30" s="27" t="inlineStr">
        <is>
          <t>Miscellaneous</t>
        </is>
      </c>
    </row>
    <row r="31">
      <c r="A31" s="25" t="inlineStr">
        <is>
          <t>Contingency Fund (10%)</t>
        </is>
      </c>
      <c r="C31" s="30">
        <f>SUM(C19:C30)*0.10</f>
        <v/>
      </c>
      <c r="D31" s="27" t="inlineStr">
        <is>
          <t>Auto-calculated: 10% of total expenses</t>
        </is>
      </c>
    </row>
    <row r="32">
      <c r="A32" s="28" t="inlineStr">
        <is>
          <t>TOTAL BUDGETED EXPENSES</t>
        </is>
      </c>
      <c r="C32" s="29">
        <f>SUM(C19:C30)+C31</f>
        <v/>
      </c>
    </row>
    <row r="35">
      <c r="A35" s="3" t="inlineStr">
        <is>
          <t>BUDGET SUMMARY</t>
        </is>
      </c>
    </row>
    <row r="36">
      <c r="A36" s="6" t="inlineStr">
        <is>
          <t>Total Projected Income</t>
        </is>
      </c>
      <c r="C36" s="31">
        <f>C15</f>
        <v/>
      </c>
    </row>
    <row r="37">
      <c r="A37" s="6" t="inlineStr">
        <is>
          <t>Total Budgeted Expenses</t>
        </is>
      </c>
      <c r="C37" s="31">
        <f>C32</f>
        <v/>
      </c>
    </row>
    <row r="38">
      <c r="A38" s="48" t="inlineStr">
        <is>
          <t>NET POSITION (Surplus/Deficit)</t>
        </is>
      </c>
      <c r="C38" s="49">
        <f>C15-C32</f>
        <v/>
      </c>
    </row>
    <row r="39">
      <c r="A39" s="6" t="inlineStr">
        <is>
          <t>Budget Status</t>
        </is>
      </c>
      <c r="C39" s="50" t="inlineStr">
        <is>
          <t>BALANCED ✓</t>
        </is>
      </c>
    </row>
  </sheetData>
  <mergeCells count="34">
    <mergeCell ref="A24:B24"/>
    <mergeCell ref="A30:B30"/>
    <mergeCell ref="A15:B15"/>
    <mergeCell ref="A35:D35"/>
    <mergeCell ref="A11:B11"/>
    <mergeCell ref="A36:B36"/>
    <mergeCell ref="A6:B6"/>
    <mergeCell ref="A7:B7"/>
    <mergeCell ref="A25:B25"/>
    <mergeCell ref="A37:B37"/>
    <mergeCell ref="A18:B18"/>
    <mergeCell ref="A27:B27"/>
    <mergeCell ref="A12:B12"/>
    <mergeCell ref="A1:D1"/>
    <mergeCell ref="A26:B26"/>
    <mergeCell ref="A21:B21"/>
    <mergeCell ref="A5:B5"/>
    <mergeCell ref="A32:B32"/>
    <mergeCell ref="A14:B14"/>
    <mergeCell ref="A23:B23"/>
    <mergeCell ref="A8:B8"/>
    <mergeCell ref="A22:B22"/>
    <mergeCell ref="A20:B20"/>
    <mergeCell ref="A38:B38"/>
    <mergeCell ref="A29:B29"/>
    <mergeCell ref="A19:B19"/>
    <mergeCell ref="A3:D3"/>
    <mergeCell ref="A10:B10"/>
    <mergeCell ref="A28:B28"/>
    <mergeCell ref="A13:B13"/>
    <mergeCell ref="A2:D2"/>
    <mergeCell ref="A9:B9"/>
    <mergeCell ref="A31:B31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2026-01-07T18:10:05Z</dcterms:created>
  <dcterms:modified xsi:type="dcterms:W3CDTF">2026-01-07T18:10:05Z</dcterms:modified>
</cp:coreProperties>
</file>